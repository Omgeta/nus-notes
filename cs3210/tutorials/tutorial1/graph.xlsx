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lshared\nus-notes\cs3210\tutorials\tutorial1\"/>
    </mc:Choice>
  </mc:AlternateContent>
  <xr:revisionPtr revIDLastSave="0" documentId="13_ncr:9_{70D486C7-C984-4BDB-ADAE-010601DF5481}" xr6:coauthVersionLast="47" xr6:coauthVersionMax="47" xr10:uidLastSave="{00000000-0000-0000-0000-000000000000}"/>
  <bookViews>
    <workbookView xWindow="-108" yWindow="-108" windowWidth="30936" windowHeight="16776" activeTab="1" xr2:uid="{2B109CBB-EF07-434C-89EA-E013950BEB65}"/>
  </bookViews>
  <sheets>
    <sheet name="out" sheetId="1" r:id="rId1"/>
    <sheet name="merge_speedup" sheetId="7" r:id="rId2"/>
    <sheet name="merge_sort_SIZE" sheetId="6" r:id="rId3"/>
    <sheet name="bubble_sort_SIZE" sheetId="4" r:id="rId4"/>
    <sheet name="bubble_sort_MAX_VALUE" sheetId="5" r:id="rId5"/>
  </sheets>
  <calcPr calcId="0"/>
  <pivotCaches>
    <pivotCache cacheId="19" r:id="rId6"/>
    <pivotCache cacheId="23" r:id="rId7"/>
    <pivotCache cacheId="28" r:id="rId8"/>
    <pivotCache cacheId="33" r:id="rId9"/>
  </pivotCaches>
</workbook>
</file>

<file path=xl/calcChain.xml><?xml version="1.0" encoding="utf-8"?>
<calcChain xmlns="http://schemas.openxmlformats.org/spreadsheetml/2006/main">
  <c r="D6" i="7" l="1"/>
  <c r="D7" i="7"/>
  <c r="D8" i="7"/>
  <c r="D9" i="7"/>
  <c r="D5" i="7"/>
</calcChain>
</file>

<file path=xl/sharedStrings.xml><?xml version="1.0" encoding="utf-8"?>
<sst xmlns="http://schemas.openxmlformats.org/spreadsheetml/2006/main" count="132" uniqueCount="36">
  <si>
    <t>program</t>
  </si>
  <si>
    <t>ARRAY_SIZE</t>
  </si>
  <si>
    <t>elapsed</t>
  </si>
  <si>
    <t>user</t>
  </si>
  <si>
    <t>instructions</t>
  </si>
  <si>
    <t>cycles</t>
  </si>
  <si>
    <t>asdf</t>
  </si>
  <si>
    <t>asdf_merge</t>
  </si>
  <si>
    <t>MAX_VALUE</t>
  </si>
  <si>
    <t>Row Labels</t>
  </si>
  <si>
    <t>Grand Total</t>
  </si>
  <si>
    <t>Column Labels</t>
  </si>
  <si>
    <t>Average of elapsed</t>
  </si>
  <si>
    <t>Average of user</t>
  </si>
  <si>
    <t>StdDev of elapsed</t>
  </si>
  <si>
    <t>StdDev of user</t>
  </si>
  <si>
    <t>Elapsed (Avg.)</t>
  </si>
  <si>
    <t>Elapsed (Std.)</t>
  </si>
  <si>
    <t>User (Avg.)</t>
  </si>
  <si>
    <t>User (Std.)</t>
  </si>
  <si>
    <t>StdDev of elapsed2</t>
  </si>
  <si>
    <t>StdDev of user2</t>
  </si>
  <si>
    <t>Average of instructions</t>
  </si>
  <si>
    <t>StdDev of instructions2</t>
  </si>
  <si>
    <t>Instructions (Avg.)</t>
  </si>
  <si>
    <t>Instructions (Std.)</t>
  </si>
  <si>
    <t>StdDev of instructions</t>
  </si>
  <si>
    <t>Elapsed (Avg., Bubble)</t>
  </si>
  <si>
    <t>Elasped (Std, Bubble)</t>
  </si>
  <si>
    <t>Elapsed (Avg, Merge)</t>
  </si>
  <si>
    <t>Elapsed (Std, Merge)</t>
  </si>
  <si>
    <t>Instructions (Avg., Bubble)</t>
  </si>
  <si>
    <t>Instructions (Std, Bubble)</t>
  </si>
  <si>
    <t>Instructions (Avg, Merge)</t>
  </si>
  <si>
    <t>Instructions (Std, Merge)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</si>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</sst>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Speedup vs ARRAY_SIZE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merge_speedup!$B$13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merge_speedup!$A$14:$A$18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</c:numCache>
            </c:numRef>
          </c:xVal>
          <c:yVal>
            <c:numRef>
              <c:f>merge_speedup!$B$14:$B$18</c:f>
              <c:numCache>
                <c:formatCode>General</c:formatCode>
                <c:ptCount val="5"/>
                <c:pt idx="0">
                  <c:v>9.8472325025091614</c:v>
                </c:pt>
                <c:pt idx="1">
                  <c:v>25.696249240114817</c:v>
                </c:pt>
                <c:pt idx="2">
                  <c:v>44.829855040502963</c:v>
                </c:pt>
                <c:pt idx="3">
                  <c:v>76.861540785610543</c:v>
                </c:pt>
                <c:pt idx="4">
                  <c:v>110.84776853209006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3-450D-A1FA-154CA7643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078479"/>
        <c:axId val="2135077999"/>
      </c:scatterChart>
      <c:valAx>
        <c:axId val="2135078479"/>
        <c:scaling>
          <c:orientation val="minMax"/>
          <c:max val="25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ARRAY_SIZE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77999"/>
        <c:crosses val="autoZero"/>
        <c:crossBetween val="midCat"/>
      </c:valAx>
      <c:valAx>
        <c:axId val="213507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Speedup</a:t>
                </a:r>
                <a:r>
                  <a:rPr lang="en-GB" baseline="0"/>
                  <a:t> = Merge Time/Bubble Time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7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Elapsed Time vs. ARRAY_SIZE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87270341207349"/>
          <c:y val="0.17171296296296296"/>
          <c:w val="0.80590507436570424"/>
          <c:h val="0.5449609944590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merge_sort_SIZE!$B$13</c:f>
              <c:strCache>
                <c:ptCount val="1"/>
                <c:pt idx="0">
                  <c:v>Elapsed (Avg., Bubble)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merge_sort_SIZE!$C$14:$C$18</c:f>
                <c:numCache>
                  <c:formatCode>General</c:formatCode>
                  <c:ptCount val="5"/>
                  <c:pt idx="0">
                    <c:v>1.8763054343271291E-2</c:v>
                  </c:pt>
                  <c:pt idx="1">
                    <c:v>4.3135729235766933E-3</c:v>
                  </c:pt>
                  <c:pt idx="2">
                    <c:v>1.2172581756630357E-2</c:v>
                  </c:pt>
                  <c:pt idx="3">
                    <c:v>7.5396135406115934E-3</c:v>
                  </c:pt>
                  <c:pt idx="4">
                    <c:v>8.6610181672909289E-3</c:v>
                  </c:pt>
                </c:numCache>
              </c:numRef>
            </c:plus>
            <c:minus>
              <c:numRef>
                <c:f>merge_sort_SIZE!$C$14:$C$18</c:f>
                <c:numCache>
                  <c:formatCode>General</c:formatCode>
                  <c:ptCount val="5"/>
                  <c:pt idx="0">
                    <c:v>1.8763054343271291E-2</c:v>
                  </c:pt>
                  <c:pt idx="1">
                    <c:v>4.3135729235766933E-3</c:v>
                  </c:pt>
                  <c:pt idx="2">
                    <c:v>1.2172581756630357E-2</c:v>
                  </c:pt>
                  <c:pt idx="3">
                    <c:v>7.5396135406115934E-3</c:v>
                  </c:pt>
                  <c:pt idx="4">
                    <c:v>8.6610181672909289E-3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merge_sort_SIZE!$A$14:$A$18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</c:numCache>
            </c:numRef>
          </c:xVal>
          <c:yVal>
            <c:numRef>
              <c:f>merge_sort_SIZE!$B$14:$B$18</c:f>
              <c:numCache>
                <c:formatCode>General</c:formatCode>
                <c:ptCount val="5"/>
                <c:pt idx="0">
                  <c:v>0.149193506</c:v>
                </c:pt>
                <c:pt idx="1">
                  <c:v>0.4850759</c:v>
                </c:pt>
                <c:pt idx="2">
                  <c:v>1.0872916633333334</c:v>
                </c:pt>
                <c:pt idx="3">
                  <c:v>1.9269908979999999</c:v>
                </c:pt>
                <c:pt idx="4">
                  <c:v>3.0100358309999997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25-4FD9-B2C0-C70C8313187B}"/>
            </c:ext>
          </c:extLst>
        </c:ser>
        <c:ser>
          <c:idx val="1"/>
          <c:order val="1"/>
          <c:tx>
            <c:strRef>
              <c:f>merge_sort_SIZE!$D$13</c:f>
              <c:strCache>
                <c:ptCount val="1"/>
                <c:pt idx="0">
                  <c:v>Elapsed (Avg, Merge)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merge_sort_SIZE!$E$14:$E$18</c:f>
                <c:numCache>
                  <c:formatCode>General</c:formatCode>
                  <c:ptCount val="5"/>
                  <c:pt idx="0">
                    <c:v>3.3751875908801286E-4</c:v>
                  </c:pt>
                  <c:pt idx="1">
                    <c:v>5.8976310844466632E-4</c:v>
                  </c:pt>
                  <c:pt idx="2">
                    <c:v>8.961186630228395E-3</c:v>
                  </c:pt>
                  <c:pt idx="3">
                    <c:v>2.0430037393135963E-3</c:v>
                  </c:pt>
                  <c:pt idx="4">
                    <c:v>1.4790695510647112E-3</c:v>
                  </c:pt>
                </c:numCache>
              </c:numRef>
            </c:plus>
            <c:minus>
              <c:numRef>
                <c:f>merge_sort_SIZE!$E$14:$E$18</c:f>
                <c:numCache>
                  <c:formatCode>General</c:formatCode>
                  <c:ptCount val="5"/>
                  <c:pt idx="0">
                    <c:v>3.3751875908801286E-4</c:v>
                  </c:pt>
                  <c:pt idx="1">
                    <c:v>5.8976310844466632E-4</c:v>
                  </c:pt>
                  <c:pt idx="2">
                    <c:v>8.961186630228395E-3</c:v>
                  </c:pt>
                  <c:pt idx="3">
                    <c:v>2.0430037393135963E-3</c:v>
                  </c:pt>
                  <c:pt idx="4">
                    <c:v>1.4790695510647112E-3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merge_sort_SIZE!$A$14:$A$18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</c:numCache>
            </c:numRef>
          </c:xVal>
          <c:yVal>
            <c:numRef>
              <c:f>merge_sort_SIZE!$D$14:$D$18</c:f>
              <c:numCache>
                <c:formatCode>General</c:formatCode>
                <c:ptCount val="5"/>
                <c:pt idx="0">
                  <c:v>1.5150805666666668E-2</c:v>
                </c:pt>
                <c:pt idx="1">
                  <c:v>1.8877303666666668E-2</c:v>
                </c:pt>
                <c:pt idx="2">
                  <c:v>2.4253740333333332E-2</c:v>
                </c:pt>
                <c:pt idx="3">
                  <c:v>2.5070937666666668E-2</c:v>
                </c:pt>
                <c:pt idx="4">
                  <c:v>2.715468133333333E-2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25-4FD9-B2C0-C70C83131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703263"/>
        <c:axId val="298704223"/>
      </c:scatterChart>
      <c:valAx>
        <c:axId val="298703263"/>
        <c:scaling>
          <c:orientation val="minMax"/>
          <c:max val="25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ARRAY_SIZE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704223"/>
        <c:crosses val="autoZero"/>
        <c:crossBetween val="midCat"/>
      </c:valAx>
      <c:valAx>
        <c:axId val="29870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703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Instructions vs. ARRAY_SIZE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60892388451444"/>
          <c:y val="0.17171296296296296"/>
          <c:w val="0.75516885389326338"/>
          <c:h val="0.56347951297754451"/>
        </c:manualLayout>
      </c:layout>
      <c:scatterChart>
        <c:scatterStyle val="lineMarker"/>
        <c:varyColors val="0"/>
        <c:ser>
          <c:idx val="0"/>
          <c:order val="0"/>
          <c:tx>
            <c:strRef>
              <c:f>merge_sort_SIZE!$B$20</c:f>
              <c:strCache>
                <c:ptCount val="1"/>
                <c:pt idx="0">
                  <c:v>Instructions (Avg., Bubble)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merge_sort_SIZE!$C$21:$C$25</c:f>
                <c:numCache>
                  <c:formatCode>General</c:formatCode>
                  <c:ptCount val="5"/>
                  <c:pt idx="0">
                    <c:v>562140.57430503983</c:v>
                  </c:pt>
                  <c:pt idx="1">
                    <c:v>1268044.3179132186</c:v>
                  </c:pt>
                  <c:pt idx="2">
                    <c:v>28264987.028191045</c:v>
                  </c:pt>
                  <c:pt idx="3">
                    <c:v>14055384.770453777</c:v>
                  </c:pt>
                  <c:pt idx="4">
                    <c:v>23382497.231099334</c:v>
                  </c:pt>
                </c:numCache>
              </c:numRef>
            </c:plus>
            <c:minus>
              <c:numRef>
                <c:f>merge_sort_SIZE!$C$21:$C$25</c:f>
                <c:numCache>
                  <c:formatCode>General</c:formatCode>
                  <c:ptCount val="5"/>
                  <c:pt idx="0">
                    <c:v>562140.57430503983</c:v>
                  </c:pt>
                  <c:pt idx="1">
                    <c:v>1268044.3179132186</c:v>
                  </c:pt>
                  <c:pt idx="2">
                    <c:v>28264987.028191045</c:v>
                  </c:pt>
                  <c:pt idx="3">
                    <c:v>14055384.770453777</c:v>
                  </c:pt>
                  <c:pt idx="4">
                    <c:v>23382497.231099334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merge_sort_SIZE!$A$21:$A$25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</c:numCache>
            </c:numRef>
          </c:xVal>
          <c:yVal>
            <c:numRef>
              <c:f>merge_sort_SIZE!$B$21:$B$25</c:f>
              <c:numCache>
                <c:formatCode>General</c:formatCode>
                <c:ptCount val="5"/>
                <c:pt idx="0">
                  <c:v>477117684.66666669</c:v>
                </c:pt>
                <c:pt idx="1">
                  <c:v>1951647752.6666667</c:v>
                </c:pt>
                <c:pt idx="2">
                  <c:v>4462475828.666667</c:v>
                </c:pt>
                <c:pt idx="3">
                  <c:v>7956992375</c:v>
                </c:pt>
                <c:pt idx="4">
                  <c:v>12485119415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9-4906-B7B3-A09890E523C6}"/>
            </c:ext>
          </c:extLst>
        </c:ser>
        <c:ser>
          <c:idx val="1"/>
          <c:order val="1"/>
          <c:tx>
            <c:strRef>
              <c:f>merge_sort_SIZE!$D$20</c:f>
              <c:strCache>
                <c:ptCount val="1"/>
                <c:pt idx="0">
                  <c:v>Instructions (Avg, Merge)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merge_sort_SIZE!$E$21:$E$25</c:f>
                <c:numCache>
                  <c:formatCode>General</c:formatCode>
                  <c:ptCount val="5"/>
                  <c:pt idx="0">
                    <c:v>46195.397140840774</c:v>
                  </c:pt>
                  <c:pt idx="1">
                    <c:v>292559.37763864704</c:v>
                  </c:pt>
                  <c:pt idx="2">
                    <c:v>67417.145136641615</c:v>
                  </c:pt>
                  <c:pt idx="3">
                    <c:v>51349.082508843327</c:v>
                  </c:pt>
                  <c:pt idx="4">
                    <c:v>284474.26512076624</c:v>
                  </c:pt>
                </c:numCache>
              </c:numRef>
            </c:plus>
            <c:minus>
              <c:numRef>
                <c:f>merge_sort_SIZE!$E$21:$E$25</c:f>
                <c:numCache>
                  <c:formatCode>General</c:formatCode>
                  <c:ptCount val="5"/>
                  <c:pt idx="0">
                    <c:v>46195.397140840774</c:v>
                  </c:pt>
                  <c:pt idx="1">
                    <c:v>292559.37763864704</c:v>
                  </c:pt>
                  <c:pt idx="2">
                    <c:v>67417.145136641615</c:v>
                  </c:pt>
                  <c:pt idx="3">
                    <c:v>51349.082508843327</c:v>
                  </c:pt>
                  <c:pt idx="4">
                    <c:v>284474.26512076624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merge_sort_SIZE!$A$21:$A$25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</c:numCache>
            </c:numRef>
          </c:xVal>
          <c:yVal>
            <c:numRef>
              <c:f>merge_sort_SIZE!$D$21:$D$25</c:f>
              <c:numCache>
                <c:formatCode>General</c:formatCode>
                <c:ptCount val="5"/>
                <c:pt idx="0">
                  <c:v>11081925</c:v>
                </c:pt>
                <c:pt idx="1">
                  <c:v>19070305.666666668</c:v>
                </c:pt>
                <c:pt idx="2">
                  <c:v>27158909.333333332</c:v>
                </c:pt>
                <c:pt idx="3">
                  <c:v>35231486.333333336</c:v>
                </c:pt>
                <c:pt idx="4">
                  <c:v>43736250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E9-4906-B7B3-A09890E52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280527"/>
        <c:axId val="407279567"/>
      </c:scatterChart>
      <c:valAx>
        <c:axId val="407280527"/>
        <c:scaling>
          <c:orientation val="minMax"/>
          <c:max val="25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ARRAY_SIZE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79567"/>
        <c:crosses val="autoZero"/>
        <c:crossBetween val="midCat"/>
      </c:valAx>
      <c:valAx>
        <c:axId val="4072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Instructions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8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Elapsed/User</a:t>
            </a:r>
            <a:r>
              <a:rPr lang="en-GB" baseline="0"/>
              <a:t> Time vs. ARRAY_SIZE (Bubble Sort)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87270341207349"/>
          <c:y val="0.17171296296296296"/>
          <c:w val="0.80590507436570424"/>
          <c:h val="0.581998031496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bubble_sort_SIZE!$B$11</c:f>
              <c:strCache>
                <c:ptCount val="1"/>
                <c:pt idx="0">
                  <c:v>Elapsed (Avg.)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bubble_sort_SIZE!$C$12:$C$16</c:f>
                <c:numCache>
                  <c:formatCode>General</c:formatCode>
                  <c:ptCount val="5"/>
                  <c:pt idx="0">
                    <c:v>1.8763054343271291E-2</c:v>
                  </c:pt>
                  <c:pt idx="1">
                    <c:v>4.3135729235766933E-3</c:v>
                  </c:pt>
                  <c:pt idx="2">
                    <c:v>1.2172581756630357E-2</c:v>
                  </c:pt>
                  <c:pt idx="3">
                    <c:v>7.5396135406115934E-3</c:v>
                  </c:pt>
                  <c:pt idx="4">
                    <c:v>8.6610181672909289E-3</c:v>
                  </c:pt>
                </c:numCache>
              </c:numRef>
            </c:plus>
            <c:minus>
              <c:numRef>
                <c:f>bubble_sort_SIZE!$C$12:$C$16</c:f>
                <c:numCache>
                  <c:formatCode>General</c:formatCode>
                  <c:ptCount val="5"/>
                  <c:pt idx="0">
                    <c:v>1.8763054343271291E-2</c:v>
                  </c:pt>
                  <c:pt idx="1">
                    <c:v>4.3135729235766933E-3</c:v>
                  </c:pt>
                  <c:pt idx="2">
                    <c:v>1.2172581756630357E-2</c:v>
                  </c:pt>
                  <c:pt idx="3">
                    <c:v>7.5396135406115934E-3</c:v>
                  </c:pt>
                  <c:pt idx="4">
                    <c:v>8.6610181672909289E-3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bubble_sort_SIZE!$A$12:$A$16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</c:numCache>
            </c:numRef>
          </c:xVal>
          <c:yVal>
            <c:numRef>
              <c:f>bubble_sort_SIZE!$B$12:$B$16</c:f>
              <c:numCache>
                <c:formatCode>General</c:formatCode>
                <c:ptCount val="5"/>
                <c:pt idx="0">
                  <c:v>0.149193506</c:v>
                </c:pt>
                <c:pt idx="1">
                  <c:v>0.4850759</c:v>
                </c:pt>
                <c:pt idx="2">
                  <c:v>1.0872916633333334</c:v>
                </c:pt>
                <c:pt idx="3">
                  <c:v>1.9269908979999999</c:v>
                </c:pt>
                <c:pt idx="4">
                  <c:v>3.0100358309999997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7D-4C84-B6D8-5B287B68293D}"/>
            </c:ext>
          </c:extLst>
        </c:ser>
        <c:ser>
          <c:idx val="1"/>
          <c:order val="1"/>
          <c:tx>
            <c:strRef>
              <c:f>bubble_sort_SIZE!$D$11</c:f>
              <c:strCache>
                <c:ptCount val="1"/>
                <c:pt idx="0">
                  <c:v>User (Avg.)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bubble_sort_SIZE!$E$12:$E$16</c:f>
                <c:numCache>
                  <c:formatCode>General</c:formatCode>
                  <c:ptCount val="5"/>
                  <c:pt idx="0">
                    <c:v>1.6761313830763295E-2</c:v>
                  </c:pt>
                  <c:pt idx="1">
                    <c:v>4.0290869106286552E-3</c:v>
                  </c:pt>
                  <c:pt idx="2">
                    <c:v>1.2015464535332412E-2</c:v>
                  </c:pt>
                  <c:pt idx="3">
                    <c:v>7.8153320039862778E-3</c:v>
                  </c:pt>
                  <c:pt idx="4">
                    <c:v>9.0353251738668171E-3</c:v>
                  </c:pt>
                </c:numCache>
              </c:numRef>
            </c:plus>
            <c:minus>
              <c:numRef>
                <c:f>bubble_sort_SIZE!$E$12:$E$16</c:f>
                <c:numCache>
                  <c:formatCode>General</c:formatCode>
                  <c:ptCount val="5"/>
                  <c:pt idx="0">
                    <c:v>1.6761313830763295E-2</c:v>
                  </c:pt>
                  <c:pt idx="1">
                    <c:v>4.0290869106286552E-3</c:v>
                  </c:pt>
                  <c:pt idx="2">
                    <c:v>1.2015464535332412E-2</c:v>
                  </c:pt>
                  <c:pt idx="3">
                    <c:v>7.8153320039862778E-3</c:v>
                  </c:pt>
                  <c:pt idx="4">
                    <c:v>9.0353251738668171E-3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bubble_sort_SIZE!$A$12:$A$16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</c:numCache>
            </c:numRef>
          </c:xVal>
          <c:yVal>
            <c:numRef>
              <c:f>bubble_sort_SIZE!$D$12:$D$16</c:f>
              <c:numCache>
                <c:formatCode>General</c:formatCode>
                <c:ptCount val="5"/>
                <c:pt idx="0">
                  <c:v>0.13489533333333334</c:v>
                </c:pt>
                <c:pt idx="1">
                  <c:v>0.47124633333333327</c:v>
                </c:pt>
                <c:pt idx="2">
                  <c:v>1.075177</c:v>
                </c:pt>
                <c:pt idx="3">
                  <c:v>1.9133843333333334</c:v>
                </c:pt>
                <c:pt idx="4">
                  <c:v>2.9975120000000004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7D-4C84-B6D8-5B287B682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443679"/>
        <c:axId val="405445119"/>
      </c:scatterChart>
      <c:valAx>
        <c:axId val="405443679"/>
        <c:scaling>
          <c:orientation val="minMax"/>
          <c:max val="25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ARRAY_SIZE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45119"/>
        <c:crosses val="autoZero"/>
        <c:crossBetween val="midCat"/>
      </c:valAx>
      <c:valAx>
        <c:axId val="4054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4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558245844269466"/>
          <c:y val="0.91724482356372106"/>
          <c:w val="0.50883508311461068"/>
          <c:h val="5.4977398658501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Instructions vs. ARRAY_SIZE (Bubble Sort)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bubble_sort_SIZE!$F$11</c:f>
              <c:strCache>
                <c:ptCount val="1"/>
                <c:pt idx="0">
                  <c:v>Instructions (Avg.)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bubble_sort_SIZE!$G$12:$G$16</c:f>
                <c:numCache>
                  <c:formatCode>General</c:formatCode>
                  <c:ptCount val="5"/>
                  <c:pt idx="0">
                    <c:v>562140.57430503983</c:v>
                  </c:pt>
                  <c:pt idx="1">
                    <c:v>1268044.3179132186</c:v>
                  </c:pt>
                  <c:pt idx="2">
                    <c:v>28264987.028191045</c:v>
                  </c:pt>
                  <c:pt idx="3">
                    <c:v>14055384.770453777</c:v>
                  </c:pt>
                  <c:pt idx="4">
                    <c:v>23382497.231099334</c:v>
                  </c:pt>
                </c:numCache>
              </c:numRef>
            </c:plus>
            <c:minus>
              <c:numRef>
                <c:f>bubble_sort_SIZE!$G$12:$G$16</c:f>
                <c:numCache>
                  <c:formatCode>General</c:formatCode>
                  <c:ptCount val="5"/>
                  <c:pt idx="0">
                    <c:v>562140.57430503983</c:v>
                  </c:pt>
                  <c:pt idx="1">
                    <c:v>1268044.3179132186</c:v>
                  </c:pt>
                  <c:pt idx="2">
                    <c:v>28264987.028191045</c:v>
                  </c:pt>
                  <c:pt idx="3">
                    <c:v>14055384.770453777</c:v>
                  </c:pt>
                  <c:pt idx="4">
                    <c:v>23382497.231099334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bubble_sort_SIZE!$A$12:$A$16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</c:numCache>
            </c:numRef>
          </c:xVal>
          <c:yVal>
            <c:numRef>
              <c:f>bubble_sort_SIZE!$F$12:$F$16</c:f>
              <c:numCache>
                <c:formatCode>General</c:formatCode>
                <c:ptCount val="5"/>
                <c:pt idx="0">
                  <c:v>477117684.66666669</c:v>
                </c:pt>
                <c:pt idx="1">
                  <c:v>1951647752.6666667</c:v>
                </c:pt>
                <c:pt idx="2">
                  <c:v>4462475828.666667</c:v>
                </c:pt>
                <c:pt idx="3">
                  <c:v>7956992375</c:v>
                </c:pt>
                <c:pt idx="4">
                  <c:v>12485119415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1-4B0A-B60A-1061BB485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753599"/>
        <c:axId val="254659727"/>
      </c:scatterChart>
      <c:valAx>
        <c:axId val="403753599"/>
        <c:scaling>
          <c:orientation val="minMax"/>
          <c:max val="25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ARRAY_SIZE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659727"/>
        <c:crosses val="autoZero"/>
        <c:crossBetween val="midCat"/>
      </c:valAx>
      <c:valAx>
        <c:axId val="25465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Instructions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5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Elapsed/User Time vs. MAX_VALUE (Bubble Sort)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52537182852143"/>
          <c:y val="0.17171296296296296"/>
          <c:w val="0.78591907261592298"/>
          <c:h val="0.56347951297754451"/>
        </c:manualLayout>
      </c:layout>
      <c:scatterChart>
        <c:scatterStyle val="lineMarker"/>
        <c:varyColors val="0"/>
        <c:ser>
          <c:idx val="0"/>
          <c:order val="0"/>
          <c:tx>
            <c:strRef>
              <c:f>bubble_sort_MAX_VALUE!$B$11</c:f>
              <c:strCache>
                <c:ptCount val="1"/>
                <c:pt idx="0">
                  <c:v>Elapsed (Avg.)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bubble_sort_MAX_VALUE!$C$12:$C$16</c:f>
                <c:numCache>
                  <c:formatCode>General</c:formatCode>
                  <c:ptCount val="5"/>
                  <c:pt idx="0">
                    <c:v>1.5399351726394471E-3</c:v>
                  </c:pt>
                  <c:pt idx="1">
                    <c:v>5.122721804841945E-3</c:v>
                  </c:pt>
                  <c:pt idx="2">
                    <c:v>3.4694888259001115E-3</c:v>
                  </c:pt>
                  <c:pt idx="3">
                    <c:v>2.2090567492941298E-3</c:v>
                  </c:pt>
                  <c:pt idx="4">
                    <c:v>5.5406324191043166E-3</c:v>
                  </c:pt>
                </c:numCache>
              </c:numRef>
            </c:plus>
            <c:minus>
              <c:numRef>
                <c:f>bubble_sort_MAX_VALUE!$C$12:$C$16</c:f>
                <c:numCache>
                  <c:formatCode>General</c:formatCode>
                  <c:ptCount val="5"/>
                  <c:pt idx="0">
                    <c:v>1.5399351726394471E-3</c:v>
                  </c:pt>
                  <c:pt idx="1">
                    <c:v>5.122721804841945E-3</c:v>
                  </c:pt>
                  <c:pt idx="2">
                    <c:v>3.4694888259001115E-3</c:v>
                  </c:pt>
                  <c:pt idx="3">
                    <c:v>2.2090567492941298E-3</c:v>
                  </c:pt>
                  <c:pt idx="4">
                    <c:v>5.5406324191043166E-3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bubble_sort_MAX_VALUE!$A$12:$A$16</c:f>
              <c:numCache>
                <c:formatCode>General</c:formatCode>
                <c:ptCount val="5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</c:numCache>
            </c:numRef>
          </c:xVal>
          <c:yVal>
            <c:numRef>
              <c:f>bubble_sort_MAX_VALUE!$B$12:$B$16</c:f>
              <c:numCache>
                <c:formatCode>General</c:formatCode>
                <c:ptCount val="5"/>
                <c:pt idx="0">
                  <c:v>0.48467073200000005</c:v>
                </c:pt>
                <c:pt idx="1">
                  <c:v>0.49096471300000005</c:v>
                </c:pt>
                <c:pt idx="2">
                  <c:v>0.4860791293333333</c:v>
                </c:pt>
                <c:pt idx="3">
                  <c:v>0.48597200366666665</c:v>
                </c:pt>
                <c:pt idx="4">
                  <c:v>0.48468783266666665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6-4E6A-9D0B-4AD6CF0652B3}"/>
            </c:ext>
          </c:extLst>
        </c:ser>
        <c:ser>
          <c:idx val="1"/>
          <c:order val="1"/>
          <c:tx>
            <c:strRef>
              <c:f>bubble_sort_MAX_VALUE!$D$11</c:f>
              <c:strCache>
                <c:ptCount val="1"/>
                <c:pt idx="0">
                  <c:v>User (Avg.)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bubble_sort_MAX_VALUE!$E$12:$E$16</c:f>
                <c:numCache>
                  <c:formatCode>General</c:formatCode>
                  <c:ptCount val="5"/>
                  <c:pt idx="0">
                    <c:v>3.4264037999113348E-3</c:v>
                  </c:pt>
                  <c:pt idx="1">
                    <c:v>5.2702419615443478E-3</c:v>
                  </c:pt>
                  <c:pt idx="2">
                    <c:v>4.6558196199263909E-3</c:v>
                  </c:pt>
                  <c:pt idx="3">
                    <c:v>3.1312659314304868E-3</c:v>
                  </c:pt>
                  <c:pt idx="4">
                    <c:v>5.5737345050992032E-3</c:v>
                  </c:pt>
                </c:numCache>
              </c:numRef>
            </c:plus>
            <c:minus>
              <c:numRef>
                <c:f>bubble_sort_MAX_VALUE!$E$12:$E$16</c:f>
                <c:numCache>
                  <c:formatCode>General</c:formatCode>
                  <c:ptCount val="5"/>
                  <c:pt idx="0">
                    <c:v>3.4264037999113348E-3</c:v>
                  </c:pt>
                  <c:pt idx="1">
                    <c:v>5.2702419615443478E-3</c:v>
                  </c:pt>
                  <c:pt idx="2">
                    <c:v>4.6558196199263909E-3</c:v>
                  </c:pt>
                  <c:pt idx="3">
                    <c:v>3.1312659314304868E-3</c:v>
                  </c:pt>
                  <c:pt idx="4">
                    <c:v>5.5737345050992032E-3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bubble_sort_MAX_VALUE!$A$12:$A$16</c:f>
              <c:numCache>
                <c:formatCode>General</c:formatCode>
                <c:ptCount val="5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</c:numCache>
            </c:numRef>
          </c:xVal>
          <c:yVal>
            <c:numRef>
              <c:f>bubble_sort_MAX_VALUE!$D$12:$D$16</c:f>
              <c:numCache>
                <c:formatCode>General</c:formatCode>
                <c:ptCount val="5"/>
                <c:pt idx="0">
                  <c:v>0.47184599999999999</c:v>
                </c:pt>
                <c:pt idx="1">
                  <c:v>0.4778506666666667</c:v>
                </c:pt>
                <c:pt idx="2">
                  <c:v>0.47228533333333339</c:v>
                </c:pt>
                <c:pt idx="3">
                  <c:v>0.47284333333333334</c:v>
                </c:pt>
                <c:pt idx="4">
                  <c:v>0.47026833333333334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6-4E6A-9D0B-4AD6CF065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440047"/>
        <c:axId val="394308063"/>
      </c:scatterChart>
      <c:valAx>
        <c:axId val="405440047"/>
        <c:scaling>
          <c:orientation val="minMax"/>
          <c:max val="250000"/>
          <c:min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MAX_VALUE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308063"/>
        <c:crosses val="autoZero"/>
        <c:crossBetween val="midCat"/>
      </c:valAx>
      <c:valAx>
        <c:axId val="39430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40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Instructions vs. MAX_VALUE (Bubble Sort)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bubble_sort_MAX_VALUE!$F$11</c:f>
              <c:strCache>
                <c:ptCount val="1"/>
                <c:pt idx="0">
                  <c:v>Instructions (Avg.)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bubble_sort_MAX_VALUE!$G$12:$G$16</c:f>
                <c:numCache>
                  <c:formatCode>General</c:formatCode>
                  <c:ptCount val="5"/>
                  <c:pt idx="0">
                    <c:v>1667340.9577264034</c:v>
                  </c:pt>
                  <c:pt idx="1">
                    <c:v>12211597.969112478</c:v>
                  </c:pt>
                  <c:pt idx="2">
                    <c:v>2223830.8070318657</c:v>
                  </c:pt>
                  <c:pt idx="3">
                    <c:v>2891872.4123446387</c:v>
                  </c:pt>
                  <c:pt idx="4">
                    <c:v>12192644.572231572</c:v>
                  </c:pt>
                </c:numCache>
              </c:numRef>
            </c:plus>
            <c:minus>
              <c:numRef>
                <c:f>bubble_sort_MAX_VALUE!$G$12:$G$16</c:f>
                <c:numCache>
                  <c:formatCode>General</c:formatCode>
                  <c:ptCount val="5"/>
                  <c:pt idx="0">
                    <c:v>1667340.9577264034</c:v>
                  </c:pt>
                  <c:pt idx="1">
                    <c:v>12211597.969112478</c:v>
                  </c:pt>
                  <c:pt idx="2">
                    <c:v>2223830.8070318657</c:v>
                  </c:pt>
                  <c:pt idx="3">
                    <c:v>2891872.4123446387</c:v>
                  </c:pt>
                  <c:pt idx="4">
                    <c:v>12192644.572231572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bubble_sort_MAX_VALUE!$A$12:$A$16</c:f>
              <c:numCache>
                <c:formatCode>General</c:formatCode>
                <c:ptCount val="5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</c:numCache>
            </c:numRef>
          </c:xVal>
          <c:yVal>
            <c:numRef>
              <c:f>bubble_sort_MAX_VALUE!$F$12:$F$16</c:f>
              <c:numCache>
                <c:formatCode>General</c:formatCode>
                <c:ptCount val="5"/>
                <c:pt idx="0">
                  <c:v>1949216042</c:v>
                </c:pt>
                <c:pt idx="1">
                  <c:v>1958915931.3333333</c:v>
                </c:pt>
                <c:pt idx="2">
                  <c:v>1954682041</c:v>
                </c:pt>
                <c:pt idx="3">
                  <c:v>1962504535.3333333</c:v>
                </c:pt>
                <c:pt idx="4">
                  <c:v>1952034620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12-4BBE-BE6D-F269EB77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303119"/>
        <c:axId val="297774063"/>
      </c:scatterChart>
      <c:valAx>
        <c:axId val="298303119"/>
        <c:scaling>
          <c:orientation val="minMax"/>
          <c:max val="250000"/>
          <c:min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MAX_VALUE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74063"/>
        <c:crosses val="autoZero"/>
        <c:crossBetween val="midCat"/>
      </c:valAx>
      <c:valAx>
        <c:axId val="2977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Instructions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5180956547098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0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171450</xdr:rowOff>
    </xdr:from>
    <xdr:to>
      <xdr:col>12</xdr:col>
      <xdr:colOff>114300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F0763-CE2C-A660-F990-9DF074B3B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11</xdr:row>
      <xdr:rowOff>80010</xdr:rowOff>
    </xdr:from>
    <xdr:to>
      <xdr:col>10</xdr:col>
      <xdr:colOff>914400</xdr:colOff>
      <xdr:row>26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8DADB-B561-CFDD-BC70-8C279E6A1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449580</xdr:colOff>
      <xdr:row>26</xdr:row>
      <xdr:rowOff>163830</xdr:rowOff>
    </xdr:from>
    <xdr:to>
      <xdr:col>10</xdr:col>
      <xdr:colOff>883920</xdr:colOff>
      <xdr:row>41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FDC6F2-8B59-6693-BBFA-23B45882A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579120</xdr:colOff>
      <xdr:row>1</xdr:row>
      <xdr:rowOff>156210</xdr:rowOff>
    </xdr:from>
    <xdr:to>
      <xdr:col>15</xdr:col>
      <xdr:colOff>274320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C606D7-33F0-8EEE-D6C8-C4DEE5E16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571500</xdr:colOff>
      <xdr:row>17</xdr:row>
      <xdr:rowOff>179070</xdr:rowOff>
    </xdr:from>
    <xdr:to>
      <xdr:col>15</xdr:col>
      <xdr:colOff>266700</xdr:colOff>
      <xdr:row>32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9ECC6-28C0-DF00-A7B0-DCC2D5B00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1</xdr:row>
      <xdr:rowOff>133350</xdr:rowOff>
    </xdr:from>
    <xdr:to>
      <xdr:col>15</xdr:col>
      <xdr:colOff>182880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83D4DD-8B22-F921-3E1F-400209EC9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464820</xdr:colOff>
      <xdr:row>17</xdr:row>
      <xdr:rowOff>87630</xdr:rowOff>
    </xdr:from>
    <xdr:to>
      <xdr:col>15</xdr:col>
      <xdr:colOff>160020</xdr:colOff>
      <xdr:row>32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FA4262-C963-6A1D-9F50-81C9F27E0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op Felix" refreshedDate="46055.102430787039" createdVersion="8" refreshedVersion="8" minRefreshableVersion="3" recordCount="15" xr:uid="{2BAFA1AE-2EFF-4A39-A192-5025F93E4538}">
  <cacheSource type="worksheet">
    <worksheetSource ref="B1:E16" sheet="out"/>
  </cacheSource>
  <cacheFields count="4">
    <cacheField name="ARRAY_SIZE" numFmtId="0">
      <sharedItems containsSemiMixedTypes="0" containsString="0" containsNumber="1" containsInteger="1" minValue="5000" maxValue="25000" count="5">
        <n v="5000"/>
        <n v="10000"/>
        <n v="15000"/>
        <n v="20000"/>
        <n v="25000"/>
      </sharedItems>
    </cacheField>
    <cacheField name="elapsed" numFmtId="0">
      <sharedItems containsSemiMixedTypes="0" containsString="0" containsNumber="1" minValue="0.12752807999999999" maxValue="3.019920333"/>
    </cacheField>
    <cacheField name="user" numFmtId="0">
      <sharedItems containsSemiMixedTypes="0" containsString="0" containsNumber="1" minValue="0.11555600000000001" maxValue="3.0079310000000001"/>
    </cacheField>
    <cacheField name="instructions" numFmtId="0">
      <sharedItems containsSemiMixedTypes="0" containsString="0" containsNumber="1" containsInteger="1" minValue="476638251" maxValue="12511704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op Felix" refreshedDate="46055.117861921295" createdVersion="8" refreshedVersion="8" minRefreshableVersion="3" recordCount="15" xr:uid="{75F446B4-8C90-4644-A5F4-01DF87AD8AB5}">
  <cacheSource type="worksheet">
    <worksheetSource ref="B33:E48" sheet="out"/>
  </cacheSource>
  <cacheFields count="4">
    <cacheField name="MAX_VALUE" numFmtId="0">
      <sharedItems containsSemiMixedTypes="0" containsString="0" containsNumber="1" containsInteger="1" minValue="50000" maxValue="250000" count="5">
        <n v="50000"/>
        <n v="100000"/>
        <n v="150000"/>
        <n v="200000"/>
        <n v="250000"/>
      </sharedItems>
    </cacheField>
    <cacheField name="elapsed" numFmtId="0">
      <sharedItems containsSemiMixedTypes="0" containsString="0" containsNumber="1" minValue="0.48018612799999999" maxValue="0.49410532000000001"/>
    </cacheField>
    <cacheField name="user" numFmtId="0">
      <sharedItems containsSemiMixedTypes="0" containsString="0" containsNumber="1" minValue="0.466198" maxValue="0.48180699999999999"/>
    </cacheField>
    <cacheField name="instructions" numFmtId="0">
      <sharedItems containsSemiMixedTypes="0" containsString="0" containsNumber="1" containsInteger="1" minValue="1944537723" maxValue="19728228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op Felix" refreshedDate="46055.138482407405" createdVersion="8" refreshedVersion="8" minRefreshableVersion="3" recordCount="30" xr:uid="{1AAAD024-5058-44FD-818A-187BDC780057}">
  <cacheSource type="worksheet">
    <worksheetSource ref="A1:E31" sheet="out"/>
  </cacheSource>
  <cacheFields count="5">
    <cacheField name="program" numFmtId="0">
      <sharedItems count="2">
        <s v="asdf"/>
        <s v="asdf_merge"/>
      </sharedItems>
    </cacheField>
    <cacheField name="ARRAY_SIZE" numFmtId="0">
      <sharedItems containsSemiMixedTypes="0" containsString="0" containsNumber="1" containsInteger="1" minValue="5000" maxValue="25000" count="5">
        <n v="5000"/>
        <n v="10000"/>
        <n v="15000"/>
        <n v="20000"/>
        <n v="25000"/>
      </sharedItems>
    </cacheField>
    <cacheField name="elapsed" numFmtId="0">
      <sharedItems containsSemiMixedTypes="0" containsString="0" containsNumber="1" minValue="1.4762198000000001E-2" maxValue="3.019920333"/>
    </cacheField>
    <cacheField name="user" numFmtId="0">
      <sharedItems containsSemiMixedTypes="0" containsString="0" containsNumber="1" minValue="2.1619999999999999E-3" maxValue="3.0079310000000001"/>
    </cacheField>
    <cacheField name="instructions" numFmtId="0">
      <sharedItems containsSemiMixedTypes="0" containsString="0" containsNumber="1" containsInteger="1" minValue="11040184" maxValue="12511704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op Felix" refreshedDate="46055.149308564818" createdVersion="8" refreshedVersion="8" minRefreshableVersion="3" recordCount="30" xr:uid="{80F26EBA-E0C8-4119-B559-08A79255F71D}">
  <cacheSource type="worksheet">
    <worksheetSource ref="A1:C31" sheet="out"/>
  </cacheSource>
  <cacheFields count="3">
    <cacheField name="program" numFmtId="0">
      <sharedItems count="2">
        <s v="asdf"/>
        <s v="asdf_merge"/>
      </sharedItems>
    </cacheField>
    <cacheField name="ARRAY_SIZE" numFmtId="0">
      <sharedItems containsSemiMixedTypes="0" containsString="0" containsNumber="1" containsInteger="1" minValue="5000" maxValue="25000" count="5">
        <n v="5000"/>
        <n v="10000"/>
        <n v="15000"/>
        <n v="20000"/>
        <n v="25000"/>
      </sharedItems>
    </cacheField>
    <cacheField name="elapsed" numFmtId="0">
      <sharedItems containsSemiMixedTypes="0" containsString="0" containsNumber="1" minValue="1.4762198000000001E-2" maxValue="3.019920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0.15993032600000001"/>
    <n v="0.14390600000000001"/>
    <n v="476978443"/>
  </r>
  <r>
    <x v="0"/>
    <n v="0.16012211200000001"/>
    <n v="0.14522399999999999"/>
    <n v="476638251"/>
  </r>
  <r>
    <x v="0"/>
    <n v="0.12752807999999999"/>
    <n v="0.11555600000000001"/>
    <n v="477736360"/>
  </r>
  <r>
    <x v="1"/>
    <n v="0.48785329999999999"/>
    <n v="0.47342499999999998"/>
    <n v="1951851612"/>
  </r>
  <r>
    <x v="1"/>
    <n v="0.48010649500000002"/>
    <n v="0.46659699999999998"/>
    <n v="1952801517"/>
  </r>
  <r>
    <x v="1"/>
    <n v="0.487267905"/>
    <n v="0.473717"/>
    <n v="1950290129"/>
  </r>
  <r>
    <x v="2"/>
    <n v="1.1011976670000001"/>
    <n v="1.0888910000000001"/>
    <n v="4494854285"/>
  </r>
  <r>
    <x v="2"/>
    <n v="1.082110396"/>
    <n v="1.070141"/>
    <n v="4449841339"/>
  </r>
  <r>
    <x v="2"/>
    <n v="1.078566927"/>
    <n v="1.0664990000000001"/>
    <n v="4442731862"/>
  </r>
  <r>
    <x v="3"/>
    <n v="1.9333528419999999"/>
    <n v="1.9188460000000001"/>
    <n v="7972856454"/>
  </r>
  <r>
    <x v="3"/>
    <n v="1.928956772"/>
    <n v="1.9168750000000001"/>
    <n v="7952027167"/>
  </r>
  <r>
    <x v="3"/>
    <n v="1.91866308"/>
    <n v="1.9044319999999999"/>
    <n v="7946093504"/>
  </r>
  <r>
    <x v="4"/>
    <n v="3.0037761199999999"/>
    <n v="2.9918330000000002"/>
    <n v="12475906951"/>
  </r>
  <r>
    <x v="4"/>
    <n v="3.0064110400000001"/>
    <n v="2.992772"/>
    <n v="12467746360"/>
  </r>
  <r>
    <x v="4"/>
    <n v="3.019920333"/>
    <n v="3.0079310000000001"/>
    <n v="125117049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0.48294712400000001"/>
    <n v="0.46790300000000001"/>
    <n v="1951128484"/>
  </r>
  <r>
    <x v="0"/>
    <n v="0.485911062"/>
    <n v="0.47353499999999998"/>
    <n v="1948452045"/>
  </r>
  <r>
    <x v="0"/>
    <n v="0.48515401000000002"/>
    <n v="0.47410000000000002"/>
    <n v="1948067597"/>
  </r>
  <r>
    <x v="1"/>
    <n v="0.48505335900000002"/>
    <n v="0.47186800000000001"/>
    <n v="1949944521"/>
  </r>
  <r>
    <x v="1"/>
    <n v="0.49373546000000001"/>
    <n v="0.479877"/>
    <n v="1972822808"/>
  </r>
  <r>
    <x v="1"/>
    <n v="0.49410532000000001"/>
    <n v="0.48180699999999999"/>
    <n v="1953980465"/>
  </r>
  <r>
    <x v="2"/>
    <n v="0.48223780999999999"/>
    <n v="0.467086"/>
    <n v="1954400971"/>
  </r>
  <r>
    <x v="2"/>
    <n v="0.48701462299999998"/>
    <n v="0.47370099999999998"/>
    <n v="1957033045"/>
  </r>
  <r>
    <x v="2"/>
    <n v="0.488984955"/>
    <n v="0.47606900000000002"/>
    <n v="1952612107"/>
  </r>
  <r>
    <x v="3"/>
    <n v="0.48406883099999998"/>
    <n v="0.47102899999999998"/>
    <n v="1964176708"/>
  </r>
  <r>
    <x v="3"/>
    <n v="0.48839443399999999"/>
    <n v="0.47645900000000002"/>
    <n v="1964171608"/>
  </r>
  <r>
    <x v="3"/>
    <n v="0.48545274599999999"/>
    <n v="0.47104200000000002"/>
    <n v="1959165290"/>
  </r>
  <r>
    <x v="4"/>
    <n v="0.48018612799999999"/>
    <n v="0.466198"/>
    <n v="1944537723"/>
  </r>
  <r>
    <x v="4"/>
    <n v="0.490875638"/>
    <n v="0.47662100000000002"/>
    <n v="1966103339"/>
  </r>
  <r>
    <x v="4"/>
    <n v="0.48300173200000002"/>
    <n v="0.46798600000000001"/>
    <n v="19454627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0.15993032600000001"/>
    <n v="0.14390600000000001"/>
    <n v="476978443"/>
  </r>
  <r>
    <x v="0"/>
    <x v="0"/>
    <n v="0.16012211200000001"/>
    <n v="0.14522399999999999"/>
    <n v="476638251"/>
  </r>
  <r>
    <x v="0"/>
    <x v="0"/>
    <n v="0.12752807999999999"/>
    <n v="0.11555600000000001"/>
    <n v="477736360"/>
  </r>
  <r>
    <x v="0"/>
    <x v="1"/>
    <n v="0.48785329999999999"/>
    <n v="0.47342499999999998"/>
    <n v="1951851612"/>
  </r>
  <r>
    <x v="0"/>
    <x v="1"/>
    <n v="0.48010649500000002"/>
    <n v="0.46659699999999998"/>
    <n v="1952801517"/>
  </r>
  <r>
    <x v="0"/>
    <x v="1"/>
    <n v="0.487267905"/>
    <n v="0.473717"/>
    <n v="1950290129"/>
  </r>
  <r>
    <x v="0"/>
    <x v="2"/>
    <n v="1.1011976670000001"/>
    <n v="1.0888910000000001"/>
    <n v="4494854285"/>
  </r>
  <r>
    <x v="0"/>
    <x v="2"/>
    <n v="1.082110396"/>
    <n v="1.070141"/>
    <n v="4449841339"/>
  </r>
  <r>
    <x v="0"/>
    <x v="2"/>
    <n v="1.078566927"/>
    <n v="1.0664990000000001"/>
    <n v="4442731862"/>
  </r>
  <r>
    <x v="0"/>
    <x v="3"/>
    <n v="1.9333528419999999"/>
    <n v="1.9188460000000001"/>
    <n v="7972856454"/>
  </r>
  <r>
    <x v="0"/>
    <x v="3"/>
    <n v="1.928956772"/>
    <n v="1.9168750000000001"/>
    <n v="7952027167"/>
  </r>
  <r>
    <x v="0"/>
    <x v="3"/>
    <n v="1.91866308"/>
    <n v="1.9044319999999999"/>
    <n v="7946093504"/>
  </r>
  <r>
    <x v="0"/>
    <x v="4"/>
    <n v="3.0037761199999999"/>
    <n v="2.9918330000000002"/>
    <n v="12475906951"/>
  </r>
  <r>
    <x v="0"/>
    <x v="4"/>
    <n v="3.0064110400000001"/>
    <n v="2.992772"/>
    <n v="12467746360"/>
  </r>
  <r>
    <x v="0"/>
    <x v="4"/>
    <n v="3.019920333"/>
    <n v="3.0079310000000001"/>
    <n v="12511704934"/>
  </r>
  <r>
    <x v="1"/>
    <x v="0"/>
    <n v="1.5370741E-2"/>
    <n v="3.408E-3"/>
    <n v="11074033"/>
  </r>
  <r>
    <x v="1"/>
    <x v="0"/>
    <n v="1.4762198000000001E-2"/>
    <n v="2.1619999999999999E-3"/>
    <n v="11131558"/>
  </r>
  <r>
    <x v="1"/>
    <x v="0"/>
    <n v="1.5319477999999999E-2"/>
    <n v="2.2669999999999999E-3"/>
    <n v="11040184"/>
  </r>
  <r>
    <x v="1"/>
    <x v="1"/>
    <n v="1.830215E-2"/>
    <n v="5.0689999999999997E-3"/>
    <n v="18943533"/>
  </r>
  <r>
    <x v="1"/>
    <x v="1"/>
    <n v="1.8849096999999999E-2"/>
    <n v="5.1580000000000003E-3"/>
    <n v="18862514"/>
  </r>
  <r>
    <x v="1"/>
    <x v="1"/>
    <n v="1.9480664000000002E-2"/>
    <n v="6.2249999999999996E-3"/>
    <n v="19404870"/>
  </r>
  <r>
    <x v="1"/>
    <x v="2"/>
    <n v="1.9290581000000001E-2"/>
    <n v="7.2810000000000001E-3"/>
    <n v="27108451"/>
  </r>
  <r>
    <x v="1"/>
    <x v="2"/>
    <n v="3.4598407999999997E-2"/>
    <n v="2.0216999999999999E-2"/>
    <n v="27235476"/>
  </r>
  <r>
    <x v="1"/>
    <x v="2"/>
    <n v="1.8872231999999999E-2"/>
    <n v="6.1659999999999996E-3"/>
    <n v="27132801"/>
  </r>
  <r>
    <x v="1"/>
    <x v="3"/>
    <n v="2.7419321E-2"/>
    <n v="1.3342E-2"/>
    <n v="35182072"/>
  </r>
  <r>
    <x v="1"/>
    <x v="3"/>
    <n v="2.4090875000000001E-2"/>
    <n v="1.0276E-2"/>
    <n v="35284573"/>
  </r>
  <r>
    <x v="1"/>
    <x v="3"/>
    <n v="2.3702616999999999E-2"/>
    <n v="1.1122E-2"/>
    <n v="35227814"/>
  </r>
  <r>
    <x v="1"/>
    <x v="4"/>
    <n v="2.6166624999999999E-2"/>
    <n v="1.0742E-2"/>
    <n v="44017716"/>
  </r>
  <r>
    <x v="1"/>
    <x v="4"/>
    <n v="2.6442286999999998E-2"/>
    <n v="1.4704E-2"/>
    <n v="43448860"/>
  </r>
  <r>
    <x v="1"/>
    <x v="4"/>
    <n v="2.8855131999999999E-2"/>
    <n v="1.6029000000000002E-2"/>
    <n v="4374217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0.15993032600000001"/>
  </r>
  <r>
    <x v="0"/>
    <x v="0"/>
    <n v="0.16012211200000001"/>
  </r>
  <r>
    <x v="0"/>
    <x v="0"/>
    <n v="0.12752807999999999"/>
  </r>
  <r>
    <x v="0"/>
    <x v="1"/>
    <n v="0.48785329999999999"/>
  </r>
  <r>
    <x v="0"/>
    <x v="1"/>
    <n v="0.48010649500000002"/>
  </r>
  <r>
    <x v="0"/>
    <x v="1"/>
    <n v="0.487267905"/>
  </r>
  <r>
    <x v="0"/>
    <x v="2"/>
    <n v="1.1011976670000001"/>
  </r>
  <r>
    <x v="0"/>
    <x v="2"/>
    <n v="1.082110396"/>
  </r>
  <r>
    <x v="0"/>
    <x v="2"/>
    <n v="1.078566927"/>
  </r>
  <r>
    <x v="0"/>
    <x v="3"/>
    <n v="1.9333528419999999"/>
  </r>
  <r>
    <x v="0"/>
    <x v="3"/>
    <n v="1.928956772"/>
  </r>
  <r>
    <x v="0"/>
    <x v="3"/>
    <n v="1.91866308"/>
  </r>
  <r>
    <x v="0"/>
    <x v="4"/>
    <n v="3.0037761199999999"/>
  </r>
  <r>
    <x v="0"/>
    <x v="4"/>
    <n v="3.0064110400000001"/>
  </r>
  <r>
    <x v="0"/>
    <x v="4"/>
    <n v="3.019920333"/>
  </r>
  <r>
    <x v="1"/>
    <x v="0"/>
    <n v="1.5370741E-2"/>
  </r>
  <r>
    <x v="1"/>
    <x v="0"/>
    <n v="1.4762198000000001E-2"/>
  </r>
  <r>
    <x v="1"/>
    <x v="0"/>
    <n v="1.5319477999999999E-2"/>
  </r>
  <r>
    <x v="1"/>
    <x v="1"/>
    <n v="1.830215E-2"/>
  </r>
  <r>
    <x v="1"/>
    <x v="1"/>
    <n v="1.8849096999999999E-2"/>
  </r>
  <r>
    <x v="1"/>
    <x v="1"/>
    <n v="1.9480664000000002E-2"/>
  </r>
  <r>
    <x v="1"/>
    <x v="2"/>
    <n v="1.9290581000000001E-2"/>
  </r>
  <r>
    <x v="1"/>
    <x v="2"/>
    <n v="3.4598407999999997E-2"/>
  </r>
  <r>
    <x v="1"/>
    <x v="2"/>
    <n v="1.8872231999999999E-2"/>
  </r>
  <r>
    <x v="1"/>
    <x v="3"/>
    <n v="2.7419321E-2"/>
  </r>
  <r>
    <x v="1"/>
    <x v="3"/>
    <n v="2.4090875000000001E-2"/>
  </r>
  <r>
    <x v="1"/>
    <x v="3"/>
    <n v="2.3702616999999999E-2"/>
  </r>
  <r>
    <x v="1"/>
    <x v="4"/>
    <n v="2.6166624999999999E-2"/>
  </r>
  <r>
    <x v="1"/>
    <x v="4"/>
    <n v="2.6442286999999998E-2"/>
  </r>
  <r>
    <x v="1"/>
    <x v="4"/>
    <n v="2.8855131999999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DE01B-E6C1-4B41-9913-1954C267FABF}" name="PivotTable9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9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0"/>
  </colFields>
  <colItems count="2">
    <i>
      <x/>
    </i>
    <i>
      <x v="1"/>
    </i>
  </colItems>
  <dataFields count="1">
    <dataField name="Average of elapsed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8B33A-9EAB-437A-8F52-DC5051D50FBC}" name="PivotTable8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I10" firstHeaderRow="1" firstDataRow="3" firstDataCol="1"/>
  <pivotFields count="5">
    <pivotField axis="axisCol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2">
    <field x="0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dataFields count="4">
    <dataField name="Average of elapsed" fld="2" subtotal="average" baseField="1" baseItem="0"/>
    <dataField name="StdDev of elapsed" fld="2" subtotal="stdDev" baseField="1" baseItem="0"/>
    <dataField name="Average of instructions" fld="4" subtotal="average" baseField="1" baseItem="0"/>
    <dataField name="StdDev of instructions" fld="4" subtotal="stdDev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B764F-6B18-420C-A6EC-C8D8A3F29AA5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elapsed" fld="1" subtotal="average" baseField="0" baseItem="0"/>
    <dataField name="StdDev of elapsed2" fld="1" subtotal="stdDev" baseField="0" baseItem="0"/>
    <dataField name="Average of user" fld="2" subtotal="average" baseField="0" baseItem="0"/>
    <dataField name="StdDev of user2" fld="2" subtotal="stdDev" baseField="0" baseItem="0"/>
    <dataField name="Average of instructions" fld="3" subtotal="average" baseField="0" baseItem="0"/>
    <dataField name="StdDev of instructions2" fld="3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3E327-5545-45D2-A42D-756F4A3077CB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elapsed" fld="1" subtotal="average" baseField="0" baseItem="0"/>
    <dataField name="StdDev of elapsed" fld="1" subtotal="stdDev" baseField="0" baseItem="0"/>
    <dataField name="Average of user" fld="2" subtotal="average" baseField="0" baseItem="0"/>
    <dataField name="StdDev of user" fld="2" subtotal="stdDev" baseField="0" baseItem="0"/>
    <dataField name="Average of instructions" fld="3" subtotal="average" baseField="0" baseItem="0"/>
    <dataField name="StdDev of instructions" fld="3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CED5-2402-4DAD-8E08-6D27B6800384}">
  <dimension ref="A1:F63"/>
  <sheetViews>
    <sheetView workbookViewId="0">
      <selection sqref="A1:C3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5000</v>
      </c>
      <c r="C2">
        <v>0.15993032600000001</v>
      </c>
      <c r="D2">
        <v>0.14390600000000001</v>
      </c>
      <c r="E2">
        <v>476978443</v>
      </c>
      <c r="F2">
        <v>1069169100</v>
      </c>
    </row>
    <row r="3" spans="1:6" x14ac:dyDescent="0.3">
      <c r="A3" t="s">
        <v>6</v>
      </c>
      <c r="B3">
        <v>5000</v>
      </c>
      <c r="C3">
        <v>0.16012211200000001</v>
      </c>
      <c r="D3">
        <v>0.14522399999999999</v>
      </c>
      <c r="E3">
        <v>476638251</v>
      </c>
      <c r="F3">
        <v>1069157020</v>
      </c>
    </row>
    <row r="4" spans="1:6" x14ac:dyDescent="0.3">
      <c r="A4" t="s">
        <v>6</v>
      </c>
      <c r="B4">
        <v>5000</v>
      </c>
      <c r="C4">
        <v>0.12752807999999999</v>
      </c>
      <c r="D4">
        <v>0.11555600000000001</v>
      </c>
      <c r="E4">
        <v>477736360</v>
      </c>
      <c r="F4">
        <v>1068972456</v>
      </c>
    </row>
    <row r="5" spans="1:6" x14ac:dyDescent="0.3">
      <c r="A5" t="s">
        <v>6</v>
      </c>
      <c r="B5">
        <v>10000</v>
      </c>
      <c r="C5">
        <v>0.48785329999999999</v>
      </c>
      <c r="D5">
        <v>0.47342499999999998</v>
      </c>
      <c r="E5">
        <v>1951851612</v>
      </c>
      <c r="F5">
        <v>4252216746</v>
      </c>
    </row>
    <row r="6" spans="1:6" x14ac:dyDescent="0.3">
      <c r="A6" t="s">
        <v>6</v>
      </c>
      <c r="B6">
        <v>10000</v>
      </c>
      <c r="C6">
        <v>0.48010649500000002</v>
      </c>
      <c r="D6">
        <v>0.46659699999999998</v>
      </c>
      <c r="E6">
        <v>1952801517</v>
      </c>
      <c r="F6">
        <v>4252108216</v>
      </c>
    </row>
    <row r="7" spans="1:6" x14ac:dyDescent="0.3">
      <c r="A7" t="s">
        <v>6</v>
      </c>
      <c r="B7">
        <v>10000</v>
      </c>
      <c r="C7">
        <v>0.487267905</v>
      </c>
      <c r="D7">
        <v>0.473717</v>
      </c>
      <c r="E7">
        <v>1950290129</v>
      </c>
      <c r="F7">
        <v>4252203186</v>
      </c>
    </row>
    <row r="8" spans="1:6" x14ac:dyDescent="0.3">
      <c r="A8" t="s">
        <v>6</v>
      </c>
      <c r="B8">
        <v>15000</v>
      </c>
      <c r="C8">
        <v>1.1011976670000001</v>
      </c>
      <c r="D8">
        <v>1.0888910000000001</v>
      </c>
      <c r="E8">
        <v>4494854285</v>
      </c>
      <c r="F8">
        <v>9549779648</v>
      </c>
    </row>
    <row r="9" spans="1:6" x14ac:dyDescent="0.3">
      <c r="A9" t="s">
        <v>6</v>
      </c>
      <c r="B9">
        <v>15000</v>
      </c>
      <c r="C9">
        <v>1.082110396</v>
      </c>
      <c r="D9">
        <v>1.070141</v>
      </c>
      <c r="E9">
        <v>4449841339</v>
      </c>
      <c r="F9">
        <v>9549622665</v>
      </c>
    </row>
    <row r="10" spans="1:6" x14ac:dyDescent="0.3">
      <c r="A10" t="s">
        <v>6</v>
      </c>
      <c r="B10">
        <v>15000</v>
      </c>
      <c r="C10">
        <v>1.078566927</v>
      </c>
      <c r="D10">
        <v>1.0664990000000001</v>
      </c>
      <c r="E10">
        <v>4442731862</v>
      </c>
      <c r="F10">
        <v>9549554877</v>
      </c>
    </row>
    <row r="11" spans="1:6" x14ac:dyDescent="0.3">
      <c r="A11" t="s">
        <v>6</v>
      </c>
      <c r="B11">
        <v>20000</v>
      </c>
      <c r="C11">
        <v>1.9333528419999999</v>
      </c>
      <c r="D11">
        <v>1.9188460000000001</v>
      </c>
      <c r="E11">
        <v>7972856454</v>
      </c>
      <c r="F11">
        <v>17007303576</v>
      </c>
    </row>
    <row r="12" spans="1:6" x14ac:dyDescent="0.3">
      <c r="A12" t="s">
        <v>6</v>
      </c>
      <c r="B12">
        <v>20000</v>
      </c>
      <c r="C12">
        <v>1.928956772</v>
      </c>
      <c r="D12">
        <v>1.9168750000000001</v>
      </c>
      <c r="E12">
        <v>7952027167</v>
      </c>
      <c r="F12">
        <v>17007088498</v>
      </c>
    </row>
    <row r="13" spans="1:6" x14ac:dyDescent="0.3">
      <c r="A13" t="s">
        <v>6</v>
      </c>
      <c r="B13">
        <v>20000</v>
      </c>
      <c r="C13">
        <v>1.91866308</v>
      </c>
      <c r="D13">
        <v>1.9044319999999999</v>
      </c>
      <c r="E13">
        <v>7946093504</v>
      </c>
      <c r="F13">
        <v>17007101855</v>
      </c>
    </row>
    <row r="14" spans="1:6" x14ac:dyDescent="0.3">
      <c r="A14" t="s">
        <v>6</v>
      </c>
      <c r="B14">
        <v>25000</v>
      </c>
      <c r="C14">
        <v>3.0037761199999999</v>
      </c>
      <c r="D14">
        <v>2.9918330000000002</v>
      </c>
      <c r="E14">
        <v>12475906951</v>
      </c>
      <c r="F14">
        <v>26584012562</v>
      </c>
    </row>
    <row r="15" spans="1:6" x14ac:dyDescent="0.3">
      <c r="A15" t="s">
        <v>6</v>
      </c>
      <c r="B15">
        <v>25000</v>
      </c>
      <c r="C15">
        <v>3.0064110400000001</v>
      </c>
      <c r="D15">
        <v>2.992772</v>
      </c>
      <c r="E15">
        <v>12467746360</v>
      </c>
      <c r="F15">
        <v>26583434011</v>
      </c>
    </row>
    <row r="16" spans="1:6" x14ac:dyDescent="0.3">
      <c r="A16" t="s">
        <v>6</v>
      </c>
      <c r="B16">
        <v>25000</v>
      </c>
      <c r="C16">
        <v>3.019920333</v>
      </c>
      <c r="D16">
        <v>3.0079310000000001</v>
      </c>
      <c r="E16">
        <v>12511704934</v>
      </c>
      <c r="F16">
        <v>26583222226</v>
      </c>
    </row>
    <row r="17" spans="1:6" x14ac:dyDescent="0.3">
      <c r="A17" t="s">
        <v>7</v>
      </c>
      <c r="B17">
        <v>5000</v>
      </c>
      <c r="C17">
        <v>1.5370741E-2</v>
      </c>
      <c r="D17">
        <v>3.408E-3</v>
      </c>
      <c r="E17">
        <v>11074033</v>
      </c>
      <c r="F17">
        <v>15896692</v>
      </c>
    </row>
    <row r="18" spans="1:6" x14ac:dyDescent="0.3">
      <c r="A18" t="s">
        <v>7</v>
      </c>
      <c r="B18">
        <v>5000</v>
      </c>
      <c r="C18">
        <v>1.4762198000000001E-2</v>
      </c>
      <c r="D18">
        <v>2.1619999999999999E-3</v>
      </c>
      <c r="E18">
        <v>11131558</v>
      </c>
      <c r="F18">
        <v>15931968</v>
      </c>
    </row>
    <row r="19" spans="1:6" x14ac:dyDescent="0.3">
      <c r="A19" t="s">
        <v>7</v>
      </c>
      <c r="B19">
        <v>5000</v>
      </c>
      <c r="C19">
        <v>1.5319477999999999E-2</v>
      </c>
      <c r="D19">
        <v>2.2669999999999999E-3</v>
      </c>
      <c r="E19">
        <v>11040184</v>
      </c>
      <c r="F19">
        <v>15934923</v>
      </c>
    </row>
    <row r="20" spans="1:6" x14ac:dyDescent="0.3">
      <c r="A20" t="s">
        <v>7</v>
      </c>
      <c r="B20">
        <v>10000</v>
      </c>
      <c r="C20">
        <v>1.830215E-2</v>
      </c>
      <c r="D20">
        <v>5.0689999999999997E-3</v>
      </c>
      <c r="E20">
        <v>18943533</v>
      </c>
      <c r="F20">
        <v>29143012</v>
      </c>
    </row>
    <row r="21" spans="1:6" x14ac:dyDescent="0.3">
      <c r="A21" t="s">
        <v>7</v>
      </c>
      <c r="B21">
        <v>10000</v>
      </c>
      <c r="C21">
        <v>1.8849096999999999E-2</v>
      </c>
      <c r="D21">
        <v>5.1580000000000003E-3</v>
      </c>
      <c r="E21">
        <v>18862514</v>
      </c>
      <c r="F21">
        <v>29155558</v>
      </c>
    </row>
    <row r="22" spans="1:6" x14ac:dyDescent="0.3">
      <c r="A22" t="s">
        <v>7</v>
      </c>
      <c r="B22">
        <v>10000</v>
      </c>
      <c r="C22">
        <v>1.9480664000000002E-2</v>
      </c>
      <c r="D22">
        <v>6.2249999999999996E-3</v>
      </c>
      <c r="E22">
        <v>19404870</v>
      </c>
      <c r="F22">
        <v>29148250</v>
      </c>
    </row>
    <row r="23" spans="1:6" x14ac:dyDescent="0.3">
      <c r="A23" t="s">
        <v>7</v>
      </c>
      <c r="B23">
        <v>15000</v>
      </c>
      <c r="C23">
        <v>1.9290581000000001E-2</v>
      </c>
      <c r="D23">
        <v>7.2810000000000001E-3</v>
      </c>
      <c r="E23">
        <v>27108451</v>
      </c>
      <c r="F23">
        <v>42579047</v>
      </c>
    </row>
    <row r="24" spans="1:6" x14ac:dyDescent="0.3">
      <c r="A24" t="s">
        <v>7</v>
      </c>
      <c r="B24">
        <v>15000</v>
      </c>
      <c r="C24">
        <v>3.4598407999999997E-2</v>
      </c>
      <c r="D24">
        <v>2.0216999999999999E-2</v>
      </c>
      <c r="E24">
        <v>27235476</v>
      </c>
      <c r="F24">
        <v>42695544</v>
      </c>
    </row>
    <row r="25" spans="1:6" x14ac:dyDescent="0.3">
      <c r="A25" t="s">
        <v>7</v>
      </c>
      <c r="B25">
        <v>15000</v>
      </c>
      <c r="C25">
        <v>1.8872231999999999E-2</v>
      </c>
      <c r="D25">
        <v>6.1659999999999996E-3</v>
      </c>
      <c r="E25">
        <v>27132801</v>
      </c>
      <c r="F25">
        <v>42557496</v>
      </c>
    </row>
    <row r="26" spans="1:6" x14ac:dyDescent="0.3">
      <c r="A26" t="s">
        <v>7</v>
      </c>
      <c r="B26">
        <v>20000</v>
      </c>
      <c r="C26">
        <v>2.7419321E-2</v>
      </c>
      <c r="D26">
        <v>1.3342E-2</v>
      </c>
      <c r="E26">
        <v>35182072</v>
      </c>
      <c r="F26">
        <v>56686217</v>
      </c>
    </row>
    <row r="27" spans="1:6" x14ac:dyDescent="0.3">
      <c r="A27" t="s">
        <v>7</v>
      </c>
      <c r="B27">
        <v>20000</v>
      </c>
      <c r="C27">
        <v>2.4090875000000001E-2</v>
      </c>
      <c r="D27">
        <v>1.0276E-2</v>
      </c>
      <c r="E27">
        <v>35284573</v>
      </c>
      <c r="F27">
        <v>56680530</v>
      </c>
    </row>
    <row r="28" spans="1:6" x14ac:dyDescent="0.3">
      <c r="A28" t="s">
        <v>7</v>
      </c>
      <c r="B28">
        <v>20000</v>
      </c>
      <c r="C28">
        <v>2.3702616999999999E-2</v>
      </c>
      <c r="D28">
        <v>1.1122E-2</v>
      </c>
      <c r="E28">
        <v>35227814</v>
      </c>
      <c r="F28">
        <v>56658465</v>
      </c>
    </row>
    <row r="29" spans="1:6" x14ac:dyDescent="0.3">
      <c r="A29" t="s">
        <v>7</v>
      </c>
      <c r="B29">
        <v>25000</v>
      </c>
      <c r="C29">
        <v>2.6166624999999999E-2</v>
      </c>
      <c r="D29">
        <v>1.0742E-2</v>
      </c>
      <c r="E29">
        <v>44017716</v>
      </c>
      <c r="F29">
        <v>70798906</v>
      </c>
    </row>
    <row r="30" spans="1:6" x14ac:dyDescent="0.3">
      <c r="A30" t="s">
        <v>7</v>
      </c>
      <c r="B30">
        <v>25000</v>
      </c>
      <c r="C30">
        <v>2.6442286999999998E-2</v>
      </c>
      <c r="D30">
        <v>1.4704E-2</v>
      </c>
      <c r="E30">
        <v>43448860</v>
      </c>
      <c r="F30">
        <v>70805738</v>
      </c>
    </row>
    <row r="31" spans="1:6" x14ac:dyDescent="0.3">
      <c r="A31" t="s">
        <v>7</v>
      </c>
      <c r="B31">
        <v>25000</v>
      </c>
      <c r="C31">
        <v>2.8855131999999999E-2</v>
      </c>
      <c r="D31">
        <v>1.6029000000000002E-2</v>
      </c>
      <c r="E31">
        <v>43742174</v>
      </c>
      <c r="F31">
        <v>70852855</v>
      </c>
    </row>
    <row r="33" spans="1:6" x14ac:dyDescent="0.3">
      <c r="A33" t="s">
        <v>0</v>
      </c>
      <c r="B33" t="s">
        <v>8</v>
      </c>
      <c r="C33" t="s">
        <v>2</v>
      </c>
      <c r="D33" t="s">
        <v>3</v>
      </c>
      <c r="E33" t="s">
        <v>4</v>
      </c>
      <c r="F33" t="s">
        <v>5</v>
      </c>
    </row>
    <row r="34" spans="1:6" x14ac:dyDescent="0.3">
      <c r="A34" t="s">
        <v>6</v>
      </c>
      <c r="B34">
        <v>50000</v>
      </c>
      <c r="C34">
        <v>0.48294712400000001</v>
      </c>
      <c r="D34">
        <v>0.46790300000000001</v>
      </c>
      <c r="E34">
        <v>1951128484</v>
      </c>
      <c r="F34">
        <v>4240356993</v>
      </c>
    </row>
    <row r="35" spans="1:6" x14ac:dyDescent="0.3">
      <c r="A35" t="s">
        <v>6</v>
      </c>
      <c r="B35">
        <v>50000</v>
      </c>
      <c r="C35">
        <v>0.485911062</v>
      </c>
      <c r="D35">
        <v>0.47353499999999998</v>
      </c>
      <c r="E35">
        <v>1948452045</v>
      </c>
      <c r="F35">
        <v>4240358505</v>
      </c>
    </row>
    <row r="36" spans="1:6" x14ac:dyDescent="0.3">
      <c r="A36" t="s">
        <v>6</v>
      </c>
      <c r="B36">
        <v>50000</v>
      </c>
      <c r="C36">
        <v>0.48515401000000002</v>
      </c>
      <c r="D36">
        <v>0.47410000000000002</v>
      </c>
      <c r="E36">
        <v>1948067597</v>
      </c>
      <c r="F36">
        <v>4240380203</v>
      </c>
    </row>
    <row r="37" spans="1:6" x14ac:dyDescent="0.3">
      <c r="A37" t="s">
        <v>6</v>
      </c>
      <c r="B37">
        <v>100000</v>
      </c>
      <c r="C37">
        <v>0.48505335900000002</v>
      </c>
      <c r="D37">
        <v>0.47186800000000001</v>
      </c>
      <c r="E37">
        <v>1949944521</v>
      </c>
      <c r="F37">
        <v>4252064241</v>
      </c>
    </row>
    <row r="38" spans="1:6" x14ac:dyDescent="0.3">
      <c r="A38" t="s">
        <v>6</v>
      </c>
      <c r="B38">
        <v>100000</v>
      </c>
      <c r="C38">
        <v>0.49373546000000001</v>
      </c>
      <c r="D38">
        <v>0.479877</v>
      </c>
      <c r="E38">
        <v>1972822808</v>
      </c>
      <c r="F38">
        <v>4252167656</v>
      </c>
    </row>
    <row r="39" spans="1:6" x14ac:dyDescent="0.3">
      <c r="A39" t="s">
        <v>6</v>
      </c>
      <c r="B39">
        <v>100000</v>
      </c>
      <c r="C39">
        <v>0.49410532000000001</v>
      </c>
      <c r="D39">
        <v>0.48180699999999999</v>
      </c>
      <c r="E39">
        <v>1953980465</v>
      </c>
      <c r="F39">
        <v>4252175191</v>
      </c>
    </row>
    <row r="40" spans="1:6" x14ac:dyDescent="0.3">
      <c r="A40" t="s">
        <v>6</v>
      </c>
      <c r="B40">
        <v>150000</v>
      </c>
      <c r="C40">
        <v>0.48223780999999999</v>
      </c>
      <c r="D40">
        <v>0.467086</v>
      </c>
      <c r="E40">
        <v>1954400971</v>
      </c>
      <c r="F40">
        <v>4246119769</v>
      </c>
    </row>
    <row r="41" spans="1:6" x14ac:dyDescent="0.3">
      <c r="A41" t="s">
        <v>6</v>
      </c>
      <c r="B41">
        <v>150000</v>
      </c>
      <c r="C41">
        <v>0.48701462299999998</v>
      </c>
      <c r="D41">
        <v>0.47370099999999998</v>
      </c>
      <c r="E41">
        <v>1957033045</v>
      </c>
      <c r="F41">
        <v>4245707279</v>
      </c>
    </row>
    <row r="42" spans="1:6" x14ac:dyDescent="0.3">
      <c r="A42" t="s">
        <v>6</v>
      </c>
      <c r="B42">
        <v>150000</v>
      </c>
      <c r="C42">
        <v>0.488984955</v>
      </c>
      <c r="D42">
        <v>0.47606900000000002</v>
      </c>
      <c r="E42">
        <v>1952612107</v>
      </c>
      <c r="F42">
        <v>4245831052</v>
      </c>
    </row>
    <row r="43" spans="1:6" x14ac:dyDescent="0.3">
      <c r="A43" t="s">
        <v>6</v>
      </c>
      <c r="B43">
        <v>200000</v>
      </c>
      <c r="C43">
        <v>0.48406883099999998</v>
      </c>
      <c r="D43">
        <v>0.47102899999999998</v>
      </c>
      <c r="E43">
        <v>1964176708</v>
      </c>
      <c r="F43">
        <v>4269852977</v>
      </c>
    </row>
    <row r="44" spans="1:6" x14ac:dyDescent="0.3">
      <c r="A44" t="s">
        <v>6</v>
      </c>
      <c r="B44">
        <v>200000</v>
      </c>
      <c r="C44">
        <v>0.48839443399999999</v>
      </c>
      <c r="D44">
        <v>0.47645900000000002</v>
      </c>
      <c r="E44">
        <v>1964171608</v>
      </c>
      <c r="F44">
        <v>4269856693</v>
      </c>
    </row>
    <row r="45" spans="1:6" x14ac:dyDescent="0.3">
      <c r="A45" t="s">
        <v>6</v>
      </c>
      <c r="B45">
        <v>200000</v>
      </c>
      <c r="C45">
        <v>0.48545274599999999</v>
      </c>
      <c r="D45">
        <v>0.47104200000000002</v>
      </c>
      <c r="E45">
        <v>1959165290</v>
      </c>
      <c r="F45">
        <v>4269939050</v>
      </c>
    </row>
    <row r="46" spans="1:6" x14ac:dyDescent="0.3">
      <c r="A46" t="s">
        <v>6</v>
      </c>
      <c r="B46">
        <v>250000</v>
      </c>
      <c r="C46">
        <v>0.48018612799999999</v>
      </c>
      <c r="D46">
        <v>0.466198</v>
      </c>
      <c r="E46">
        <v>1944537723</v>
      </c>
      <c r="F46">
        <v>4243788025</v>
      </c>
    </row>
    <row r="47" spans="1:6" x14ac:dyDescent="0.3">
      <c r="A47" t="s">
        <v>6</v>
      </c>
      <c r="B47">
        <v>250000</v>
      </c>
      <c r="C47">
        <v>0.490875638</v>
      </c>
      <c r="D47">
        <v>0.47662100000000002</v>
      </c>
      <c r="E47">
        <v>1966103339</v>
      </c>
      <c r="F47">
        <v>4243931409</v>
      </c>
    </row>
    <row r="48" spans="1:6" x14ac:dyDescent="0.3">
      <c r="A48" t="s">
        <v>6</v>
      </c>
      <c r="B48">
        <v>250000</v>
      </c>
      <c r="C48">
        <v>0.48300173200000002</v>
      </c>
      <c r="D48">
        <v>0.46798600000000001</v>
      </c>
      <c r="E48">
        <v>1945462798</v>
      </c>
      <c r="F48">
        <v>4243825404</v>
      </c>
    </row>
    <row r="49" spans="1:6" x14ac:dyDescent="0.3">
      <c r="A49" t="s">
        <v>7</v>
      </c>
      <c r="B49">
        <v>50000</v>
      </c>
      <c r="C49">
        <v>3.0096830000000001E-2</v>
      </c>
      <c r="D49">
        <v>1.5575E-2</v>
      </c>
      <c r="E49">
        <v>19084927</v>
      </c>
      <c r="F49">
        <v>29238902</v>
      </c>
    </row>
    <row r="50" spans="1:6" x14ac:dyDescent="0.3">
      <c r="A50" t="s">
        <v>7</v>
      </c>
      <c r="B50">
        <v>50000</v>
      </c>
      <c r="C50">
        <v>1.8364161E-2</v>
      </c>
      <c r="D50">
        <v>3.9360000000000003E-3</v>
      </c>
      <c r="E50">
        <v>19612452</v>
      </c>
      <c r="F50">
        <v>29156557</v>
      </c>
    </row>
    <row r="51" spans="1:6" x14ac:dyDescent="0.3">
      <c r="A51" t="s">
        <v>7</v>
      </c>
      <c r="B51">
        <v>50000</v>
      </c>
      <c r="C51">
        <v>1.7731149000000002E-2</v>
      </c>
      <c r="D51">
        <v>4.228E-3</v>
      </c>
      <c r="E51">
        <v>19048229</v>
      </c>
      <c r="F51">
        <v>29131031</v>
      </c>
    </row>
    <row r="52" spans="1:6" x14ac:dyDescent="0.3">
      <c r="A52" t="s">
        <v>7</v>
      </c>
      <c r="B52">
        <v>100000</v>
      </c>
      <c r="C52">
        <v>1.8274986999999999E-2</v>
      </c>
      <c r="D52">
        <v>4.6639999999999997E-3</v>
      </c>
      <c r="E52">
        <v>18966112</v>
      </c>
      <c r="F52">
        <v>29129632</v>
      </c>
    </row>
    <row r="53" spans="1:6" x14ac:dyDescent="0.3">
      <c r="A53" t="s">
        <v>7</v>
      </c>
      <c r="B53">
        <v>100000</v>
      </c>
      <c r="C53">
        <v>2.0920694E-2</v>
      </c>
      <c r="D53">
        <v>7.6249999999999998E-3</v>
      </c>
      <c r="E53">
        <v>19001601</v>
      </c>
      <c r="F53">
        <v>29173433</v>
      </c>
    </row>
    <row r="54" spans="1:6" x14ac:dyDescent="0.3">
      <c r="A54" t="s">
        <v>7</v>
      </c>
      <c r="B54">
        <v>100000</v>
      </c>
      <c r="C54">
        <v>1.8837875E-2</v>
      </c>
      <c r="D54">
        <v>5.2249999999999996E-3</v>
      </c>
      <c r="E54">
        <v>18954088</v>
      </c>
      <c r="F54">
        <v>29134584</v>
      </c>
    </row>
    <row r="55" spans="1:6" x14ac:dyDescent="0.3">
      <c r="A55" t="s">
        <v>7</v>
      </c>
      <c r="B55">
        <v>150000</v>
      </c>
      <c r="C55">
        <v>1.7947128999999999E-2</v>
      </c>
      <c r="D55">
        <v>4.7759999999999999E-3</v>
      </c>
      <c r="E55">
        <v>19031190</v>
      </c>
      <c r="F55">
        <v>29170474</v>
      </c>
    </row>
    <row r="56" spans="1:6" x14ac:dyDescent="0.3">
      <c r="A56" t="s">
        <v>7</v>
      </c>
      <c r="B56">
        <v>150000</v>
      </c>
      <c r="C56">
        <v>2.2258462999999999E-2</v>
      </c>
      <c r="D56">
        <v>6.6909999999999999E-3</v>
      </c>
      <c r="E56">
        <v>18878788</v>
      </c>
      <c r="F56">
        <v>29170504</v>
      </c>
    </row>
    <row r="57" spans="1:6" x14ac:dyDescent="0.3">
      <c r="A57" t="s">
        <v>7</v>
      </c>
      <c r="B57">
        <v>150000</v>
      </c>
      <c r="C57">
        <v>2.0920319E-2</v>
      </c>
      <c r="D57">
        <v>6.8719999999999996E-3</v>
      </c>
      <c r="E57">
        <v>18899067</v>
      </c>
      <c r="F57">
        <v>29183003</v>
      </c>
    </row>
    <row r="58" spans="1:6" x14ac:dyDescent="0.3">
      <c r="A58" t="s">
        <v>7</v>
      </c>
      <c r="B58">
        <v>200000</v>
      </c>
      <c r="C58">
        <v>1.6698237000000001E-2</v>
      </c>
      <c r="D58">
        <v>4.9589999999999999E-3</v>
      </c>
      <c r="E58">
        <v>18951850</v>
      </c>
      <c r="F58">
        <v>29149145</v>
      </c>
    </row>
    <row r="59" spans="1:6" x14ac:dyDescent="0.3">
      <c r="A59" t="s">
        <v>7</v>
      </c>
      <c r="B59">
        <v>200000</v>
      </c>
      <c r="C59">
        <v>1.6659871999999999E-2</v>
      </c>
      <c r="D59">
        <v>4.5989999999999998E-3</v>
      </c>
      <c r="E59">
        <v>18979485</v>
      </c>
      <c r="F59">
        <v>29139834</v>
      </c>
    </row>
    <row r="60" spans="1:6" x14ac:dyDescent="0.3">
      <c r="A60" t="s">
        <v>7</v>
      </c>
      <c r="B60">
        <v>200000</v>
      </c>
      <c r="C60">
        <v>1.8510100000000002E-2</v>
      </c>
      <c r="D60">
        <v>4.4549999999999998E-3</v>
      </c>
      <c r="E60">
        <v>19053252</v>
      </c>
      <c r="F60">
        <v>29202986</v>
      </c>
    </row>
    <row r="61" spans="1:6" x14ac:dyDescent="0.3">
      <c r="A61" t="s">
        <v>7</v>
      </c>
      <c r="B61">
        <v>250000</v>
      </c>
      <c r="C61">
        <v>1.9037782E-2</v>
      </c>
      <c r="D61">
        <v>5.5820000000000002E-3</v>
      </c>
      <c r="E61">
        <v>18888059</v>
      </c>
      <c r="F61">
        <v>29124090</v>
      </c>
    </row>
    <row r="62" spans="1:6" x14ac:dyDescent="0.3">
      <c r="A62" t="s">
        <v>7</v>
      </c>
      <c r="B62">
        <v>250000</v>
      </c>
      <c r="C62">
        <v>1.8373205E-2</v>
      </c>
      <c r="D62">
        <v>4.9950000000000003E-3</v>
      </c>
      <c r="E62">
        <v>18975864</v>
      </c>
      <c r="F62">
        <v>29149748</v>
      </c>
    </row>
    <row r="63" spans="1:6" x14ac:dyDescent="0.3">
      <c r="A63" t="s">
        <v>7</v>
      </c>
      <c r="B63">
        <v>250000</v>
      </c>
      <c r="C63">
        <v>1.7659391E-2</v>
      </c>
      <c r="D63">
        <v>3.4789999999999999E-3</v>
      </c>
      <c r="E63">
        <v>18973178</v>
      </c>
      <c r="F63">
        <v>29120563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5E52-B30E-4849-8451-ACB031F8F856}">
  <dimension ref="A3:D18"/>
  <sheetViews>
    <sheetView tabSelected="1" workbookViewId="0">
      <selection activeCell="E29" sqref="E29"/>
    </sheetView>
  </sheetViews>
  <sheetFormatPr defaultRowHeight="14.4" x14ac:dyDescent="0.3"/>
  <cols>
    <col min="1" max="1" width="16.5546875" bestFit="1" customWidth="1"/>
    <col min="2" max="2" width="15.5546875" bestFit="1" customWidth="1"/>
    <col min="3" max="4" width="12" bestFit="1" customWidth="1"/>
  </cols>
  <sheetData>
    <row r="3" spans="1:4" x14ac:dyDescent="0.3">
      <c r="A3" s="2" t="s">
        <v>12</v>
      </c>
      <c r="B3" s="2" t="s">
        <v>11</v>
      </c>
    </row>
    <row r="4" spans="1:4" x14ac:dyDescent="0.3">
      <c r="A4" s="2" t="s">
        <v>9</v>
      </c>
      <c r="B4" t="s">
        <v>6</v>
      </c>
      <c r="C4" t="s">
        <v>7</v>
      </c>
      <c r="D4" t="s">
        <v>35</v>
      </c>
    </row>
    <row r="5" spans="1:4" x14ac:dyDescent="0.3">
      <c r="A5" s="3">
        <v>5000</v>
      </c>
      <c r="B5" s="1">
        <v>0.149193506</v>
      </c>
      <c r="C5" s="1">
        <v>1.5150805666666668E-2</v>
      </c>
      <c r="D5">
        <f>B5/C5</f>
        <v>9.8472325025091614</v>
      </c>
    </row>
    <row r="6" spans="1:4" x14ac:dyDescent="0.3">
      <c r="A6" s="3">
        <v>10000</v>
      </c>
      <c r="B6" s="1">
        <v>0.4850759</v>
      </c>
      <c r="C6" s="1">
        <v>1.8877303666666668E-2</v>
      </c>
      <c r="D6">
        <f t="shared" ref="D6:D9" si="0">B6/C6</f>
        <v>25.696249240114817</v>
      </c>
    </row>
    <row r="7" spans="1:4" x14ac:dyDescent="0.3">
      <c r="A7" s="3">
        <v>15000</v>
      </c>
      <c r="B7" s="1">
        <v>1.0872916633333334</v>
      </c>
      <c r="C7" s="1">
        <v>2.4253740333333332E-2</v>
      </c>
      <c r="D7">
        <f t="shared" si="0"/>
        <v>44.829855040502963</v>
      </c>
    </row>
    <row r="8" spans="1:4" x14ac:dyDescent="0.3">
      <c r="A8" s="3">
        <v>20000</v>
      </c>
      <c r="B8" s="1">
        <v>1.9269908979999999</v>
      </c>
      <c r="C8" s="1">
        <v>2.5070937666666668E-2</v>
      </c>
      <c r="D8">
        <f t="shared" si="0"/>
        <v>76.861540785610543</v>
      </c>
    </row>
    <row r="9" spans="1:4" x14ac:dyDescent="0.3">
      <c r="A9" s="3">
        <v>25000</v>
      </c>
      <c r="B9" s="1">
        <v>3.0100358309999997</v>
      </c>
      <c r="C9" s="1">
        <v>2.715468133333333E-2</v>
      </c>
      <c r="D9">
        <f t="shared" si="0"/>
        <v>110.84776853209006</v>
      </c>
    </row>
    <row r="13" spans="1:4" x14ac:dyDescent="0.3">
      <c r="A13" t="s">
        <v>1</v>
      </c>
      <c r="B13" t="s">
        <v>35</v>
      </c>
    </row>
    <row r="14" spans="1:4" x14ac:dyDescent="0.3">
      <c r="A14" s="3">
        <v>5000</v>
      </c>
      <c r="B14">
        <v>9.8472325025091614</v>
      </c>
    </row>
    <row r="15" spans="1:4" x14ac:dyDescent="0.3">
      <c r="A15" s="3">
        <v>10000</v>
      </c>
      <c r="B15">
        <v>25.696249240114817</v>
      </c>
    </row>
    <row r="16" spans="1:4" x14ac:dyDescent="0.3">
      <c r="A16" s="3">
        <v>15000</v>
      </c>
      <c r="B16">
        <v>44.829855040502963</v>
      </c>
    </row>
    <row r="17" spans="1:2" x14ac:dyDescent="0.3">
      <c r="A17" s="3">
        <v>20000</v>
      </c>
      <c r="B17">
        <v>76.861540785610543</v>
      </c>
    </row>
    <row r="18" spans="1:2" x14ac:dyDescent="0.3">
      <c r="A18" s="3">
        <v>25000</v>
      </c>
      <c r="B18">
        <v>110.84776853209006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E7CA-3AB9-48C2-AD33-BA01E4A0A90D}">
  <dimension ref="A3:I25"/>
  <sheetViews>
    <sheetView topLeftCell="A7" workbookViewId="0">
      <selection activeCell="L33" sqref="L33"/>
    </sheetView>
  </sheetViews>
  <sheetFormatPr defaultRowHeight="14.4" x14ac:dyDescent="0.3"/>
  <cols>
    <col min="1" max="1" width="12.44140625" bestFit="1" customWidth="1"/>
    <col min="2" max="2" width="22" bestFit="1" customWidth="1"/>
    <col min="3" max="3" width="21.109375" bestFit="1" customWidth="1"/>
    <col min="4" max="4" width="20.77734375" bestFit="1" customWidth="1"/>
    <col min="5" max="5" width="20.5546875" bestFit="1" customWidth="1"/>
    <col min="6" max="6" width="16.5546875" bestFit="1" customWidth="1"/>
    <col min="7" max="7" width="16" bestFit="1" customWidth="1"/>
    <col min="8" max="8" width="19.88671875" bestFit="1" customWidth="1"/>
    <col min="9" max="9" width="19.33203125" bestFit="1" customWidth="1"/>
    <col min="10" max="10" width="21.109375" bestFit="1" customWidth="1"/>
    <col min="11" max="11" width="20.5546875" bestFit="1" customWidth="1"/>
    <col min="12" max="12" width="24.44140625" bestFit="1" customWidth="1"/>
    <col min="13" max="13" width="23.88671875" bestFit="1" customWidth="1"/>
  </cols>
  <sheetData>
    <row r="3" spans="1:9" x14ac:dyDescent="0.3">
      <c r="B3" s="2" t="s">
        <v>11</v>
      </c>
    </row>
    <row r="4" spans="1:9" x14ac:dyDescent="0.3">
      <c r="B4" t="s">
        <v>6</v>
      </c>
      <c r="F4" t="s">
        <v>7</v>
      </c>
    </row>
    <row r="5" spans="1:9" x14ac:dyDescent="0.3">
      <c r="A5" s="2" t="s">
        <v>9</v>
      </c>
      <c r="B5" t="s">
        <v>12</v>
      </c>
      <c r="C5" t="s">
        <v>14</v>
      </c>
      <c r="D5" t="s">
        <v>22</v>
      </c>
      <c r="E5" t="s">
        <v>26</v>
      </c>
      <c r="F5" t="s">
        <v>12</v>
      </c>
      <c r="G5" t="s">
        <v>14</v>
      </c>
      <c r="H5" t="s">
        <v>22</v>
      </c>
      <c r="I5" t="s">
        <v>26</v>
      </c>
    </row>
    <row r="6" spans="1:9" x14ac:dyDescent="0.3">
      <c r="A6" s="3">
        <v>5000</v>
      </c>
      <c r="B6" s="1">
        <v>0.149193506</v>
      </c>
      <c r="C6" s="1">
        <v>1.8763054343271291E-2</v>
      </c>
      <c r="D6" s="1">
        <v>477117684.66666669</v>
      </c>
      <c r="E6" s="1">
        <v>562140.57430503983</v>
      </c>
      <c r="F6" s="1">
        <v>1.5150805666666668E-2</v>
      </c>
      <c r="G6" s="1">
        <v>3.3751875908801286E-4</v>
      </c>
      <c r="H6" s="1">
        <v>11081925</v>
      </c>
      <c r="I6" s="1">
        <v>46195.397140840774</v>
      </c>
    </row>
    <row r="7" spans="1:9" x14ac:dyDescent="0.3">
      <c r="A7" s="3">
        <v>10000</v>
      </c>
      <c r="B7" s="1">
        <v>0.4850759</v>
      </c>
      <c r="C7" s="1">
        <v>4.3135729235766933E-3</v>
      </c>
      <c r="D7" s="1">
        <v>1951647752.6666667</v>
      </c>
      <c r="E7" s="1">
        <v>1268044.3179132186</v>
      </c>
      <c r="F7" s="1">
        <v>1.8877303666666668E-2</v>
      </c>
      <c r="G7" s="1">
        <v>5.8976310844466632E-4</v>
      </c>
      <c r="H7" s="1">
        <v>19070305.666666668</v>
      </c>
      <c r="I7" s="1">
        <v>292559.37763864704</v>
      </c>
    </row>
    <row r="8" spans="1:9" x14ac:dyDescent="0.3">
      <c r="A8" s="3">
        <v>15000</v>
      </c>
      <c r="B8" s="1">
        <v>1.0872916633333334</v>
      </c>
      <c r="C8" s="1">
        <v>1.2172581756630357E-2</v>
      </c>
      <c r="D8" s="1">
        <v>4462475828.666667</v>
      </c>
      <c r="E8" s="1">
        <v>28264987.028191045</v>
      </c>
      <c r="F8" s="1">
        <v>2.4253740333333332E-2</v>
      </c>
      <c r="G8" s="1">
        <v>8.961186630228395E-3</v>
      </c>
      <c r="H8" s="1">
        <v>27158909.333333332</v>
      </c>
      <c r="I8" s="1">
        <v>67417.145136641615</v>
      </c>
    </row>
    <row r="9" spans="1:9" x14ac:dyDescent="0.3">
      <c r="A9" s="3">
        <v>20000</v>
      </c>
      <c r="B9" s="1">
        <v>1.9269908979999999</v>
      </c>
      <c r="C9" s="1">
        <v>7.5396135406115934E-3</v>
      </c>
      <c r="D9" s="1">
        <v>7956992375</v>
      </c>
      <c r="E9" s="1">
        <v>14055384.770453777</v>
      </c>
      <c r="F9" s="1">
        <v>2.5070937666666668E-2</v>
      </c>
      <c r="G9" s="1">
        <v>2.0430037393135963E-3</v>
      </c>
      <c r="H9" s="1">
        <v>35231486.333333336</v>
      </c>
      <c r="I9" s="1">
        <v>51349.082508843327</v>
      </c>
    </row>
    <row r="10" spans="1:9" x14ac:dyDescent="0.3">
      <c r="A10" s="3">
        <v>25000</v>
      </c>
      <c r="B10" s="1">
        <v>3.0100358309999997</v>
      </c>
      <c r="C10" s="1">
        <v>8.6610181672909289E-3</v>
      </c>
      <c r="D10" s="1">
        <v>12485119415</v>
      </c>
      <c r="E10" s="1">
        <v>23382497.231099334</v>
      </c>
      <c r="F10" s="1">
        <v>2.715468133333333E-2</v>
      </c>
      <c r="G10" s="1">
        <v>1.4790695510647112E-3</v>
      </c>
      <c r="H10" s="1">
        <v>43736250</v>
      </c>
      <c r="I10" s="1">
        <v>284474.26512076624</v>
      </c>
    </row>
    <row r="13" spans="1:9" x14ac:dyDescent="0.3">
      <c r="A13" t="s">
        <v>1</v>
      </c>
      <c r="B13" t="s">
        <v>27</v>
      </c>
      <c r="C13" t="s">
        <v>28</v>
      </c>
      <c r="D13" t="s">
        <v>29</v>
      </c>
      <c r="E13" t="s">
        <v>30</v>
      </c>
    </row>
    <row r="14" spans="1:9" x14ac:dyDescent="0.3">
      <c r="A14" s="3">
        <v>5000</v>
      </c>
      <c r="B14" s="1">
        <v>0.149193506</v>
      </c>
      <c r="C14" s="1">
        <v>1.8763054343271291E-2</v>
      </c>
      <c r="D14" s="1">
        <v>1.5150805666666668E-2</v>
      </c>
      <c r="E14" s="1">
        <v>3.3751875908801286E-4</v>
      </c>
    </row>
    <row r="15" spans="1:9" x14ac:dyDescent="0.3">
      <c r="A15" s="3">
        <v>10000</v>
      </c>
      <c r="B15" s="1">
        <v>0.4850759</v>
      </c>
      <c r="C15" s="1">
        <v>4.3135729235766933E-3</v>
      </c>
      <c r="D15" s="1">
        <v>1.8877303666666668E-2</v>
      </c>
      <c r="E15" s="1">
        <v>5.8976310844466632E-4</v>
      </c>
    </row>
    <row r="16" spans="1:9" x14ac:dyDescent="0.3">
      <c r="A16" s="3">
        <v>15000</v>
      </c>
      <c r="B16" s="1">
        <v>1.0872916633333334</v>
      </c>
      <c r="C16" s="1">
        <v>1.2172581756630357E-2</v>
      </c>
      <c r="D16" s="1">
        <v>2.4253740333333332E-2</v>
      </c>
      <c r="E16" s="1">
        <v>8.961186630228395E-3</v>
      </c>
    </row>
    <row r="17" spans="1:5" x14ac:dyDescent="0.3">
      <c r="A17" s="3">
        <v>20000</v>
      </c>
      <c r="B17" s="1">
        <v>1.9269908979999999</v>
      </c>
      <c r="C17" s="1">
        <v>7.5396135406115934E-3</v>
      </c>
      <c r="D17" s="1">
        <v>2.5070937666666668E-2</v>
      </c>
      <c r="E17" s="1">
        <v>2.0430037393135963E-3</v>
      </c>
    </row>
    <row r="18" spans="1:5" x14ac:dyDescent="0.3">
      <c r="A18" s="3">
        <v>25000</v>
      </c>
      <c r="B18" s="1">
        <v>3.0100358309999997</v>
      </c>
      <c r="C18" s="1">
        <v>8.6610181672909289E-3</v>
      </c>
      <c r="D18" s="1">
        <v>2.715468133333333E-2</v>
      </c>
      <c r="E18" s="1">
        <v>1.4790695510647112E-3</v>
      </c>
    </row>
    <row r="20" spans="1:5" x14ac:dyDescent="0.3">
      <c r="A20" t="s">
        <v>1</v>
      </c>
      <c r="B20" t="s">
        <v>31</v>
      </c>
      <c r="C20" t="s">
        <v>32</v>
      </c>
      <c r="D20" t="s">
        <v>33</v>
      </c>
      <c r="E20" t="s">
        <v>34</v>
      </c>
    </row>
    <row r="21" spans="1:5" x14ac:dyDescent="0.3">
      <c r="A21" s="3">
        <v>5000</v>
      </c>
      <c r="B21" s="1">
        <v>477117684.66666669</v>
      </c>
      <c r="C21" s="1">
        <v>562140.57430503983</v>
      </c>
      <c r="D21" s="1">
        <v>11081925</v>
      </c>
      <c r="E21" s="1">
        <v>46195.397140840774</v>
      </c>
    </row>
    <row r="22" spans="1:5" x14ac:dyDescent="0.3">
      <c r="A22" s="3">
        <v>10000</v>
      </c>
      <c r="B22" s="1">
        <v>1951647752.6666667</v>
      </c>
      <c r="C22" s="1">
        <v>1268044.3179132186</v>
      </c>
      <c r="D22" s="1">
        <v>19070305.666666668</v>
      </c>
      <c r="E22" s="1">
        <v>292559.37763864704</v>
      </c>
    </row>
    <row r="23" spans="1:5" x14ac:dyDescent="0.3">
      <c r="A23" s="3">
        <v>15000</v>
      </c>
      <c r="B23" s="1">
        <v>4462475828.666667</v>
      </c>
      <c r="C23" s="1">
        <v>28264987.028191045</v>
      </c>
      <c r="D23" s="1">
        <v>27158909.333333332</v>
      </c>
      <c r="E23" s="1">
        <v>67417.145136641615</v>
      </c>
    </row>
    <row r="24" spans="1:5" x14ac:dyDescent="0.3">
      <c r="A24" s="3">
        <v>20000</v>
      </c>
      <c r="B24" s="1">
        <v>7956992375</v>
      </c>
      <c r="C24" s="1">
        <v>14055384.770453777</v>
      </c>
      <c r="D24" s="1">
        <v>35231486.333333336</v>
      </c>
      <c r="E24" s="1">
        <v>51349.082508843327</v>
      </c>
    </row>
    <row r="25" spans="1:5" x14ac:dyDescent="0.3">
      <c r="A25" s="3">
        <v>25000</v>
      </c>
      <c r="B25" s="1">
        <v>12485119415</v>
      </c>
      <c r="C25" s="1">
        <v>23382497.231099334</v>
      </c>
      <c r="D25" s="1">
        <v>43736250</v>
      </c>
      <c r="E25" s="1">
        <v>284474.26512076624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03AD-2160-42D6-8946-6B3F7592D1F3}">
  <dimension ref="A3:G16"/>
  <sheetViews>
    <sheetView workbookViewId="0">
      <selection activeCell="A11" sqref="A11:G11"/>
    </sheetView>
  </sheetViews>
  <sheetFormatPr defaultRowHeight="14.4" x14ac:dyDescent="0.3"/>
  <cols>
    <col min="1" max="1" width="12.44140625" bestFit="1" customWidth="1"/>
    <col min="2" max="2" width="16.5546875" bestFit="1" customWidth="1"/>
    <col min="3" max="3" width="17" bestFit="1" customWidth="1"/>
    <col min="4" max="4" width="13.44140625" bestFit="1" customWidth="1"/>
    <col min="5" max="5" width="13.88671875" bestFit="1" customWidth="1"/>
    <col min="6" max="6" width="19.88671875" bestFit="1" customWidth="1"/>
    <col min="7" max="7" width="20.33203125" bestFit="1" customWidth="1"/>
  </cols>
  <sheetData>
    <row r="3" spans="1:7" x14ac:dyDescent="0.3">
      <c r="A3" s="2" t="s">
        <v>9</v>
      </c>
      <c r="B3" t="s">
        <v>12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</row>
    <row r="4" spans="1:7" x14ac:dyDescent="0.3">
      <c r="A4" s="3">
        <v>5000</v>
      </c>
      <c r="B4" s="1">
        <v>0.149193506</v>
      </c>
      <c r="C4" s="1">
        <v>1.8763054343271291E-2</v>
      </c>
      <c r="D4" s="1">
        <v>0.13489533333333334</v>
      </c>
      <c r="E4" s="1">
        <v>1.6761313830763295E-2</v>
      </c>
      <c r="F4" s="1">
        <v>477117684.66666669</v>
      </c>
      <c r="G4" s="1">
        <v>562140.57430503983</v>
      </c>
    </row>
    <row r="5" spans="1:7" x14ac:dyDescent="0.3">
      <c r="A5" s="3">
        <v>10000</v>
      </c>
      <c r="B5" s="1">
        <v>0.4850759</v>
      </c>
      <c r="C5" s="1">
        <v>4.3135729235766933E-3</v>
      </c>
      <c r="D5" s="1">
        <v>0.47124633333333327</v>
      </c>
      <c r="E5" s="1">
        <v>4.0290869106286552E-3</v>
      </c>
      <c r="F5" s="1">
        <v>1951647752.6666667</v>
      </c>
      <c r="G5" s="1">
        <v>1268044.3179132186</v>
      </c>
    </row>
    <row r="6" spans="1:7" x14ac:dyDescent="0.3">
      <c r="A6" s="3">
        <v>15000</v>
      </c>
      <c r="B6" s="1">
        <v>1.0872916633333334</v>
      </c>
      <c r="C6" s="1">
        <v>1.2172581756630357E-2</v>
      </c>
      <c r="D6" s="1">
        <v>1.075177</v>
      </c>
      <c r="E6" s="1">
        <v>1.2015464535332412E-2</v>
      </c>
      <c r="F6" s="1">
        <v>4462475828.666667</v>
      </c>
      <c r="G6" s="1">
        <v>28264987.028191045</v>
      </c>
    </row>
    <row r="7" spans="1:7" x14ac:dyDescent="0.3">
      <c r="A7" s="3">
        <v>20000</v>
      </c>
      <c r="B7" s="1">
        <v>1.9269908979999999</v>
      </c>
      <c r="C7" s="1">
        <v>7.5396135406115934E-3</v>
      </c>
      <c r="D7" s="1">
        <v>1.9133843333333334</v>
      </c>
      <c r="E7" s="1">
        <v>7.8153320039862778E-3</v>
      </c>
      <c r="F7" s="1">
        <v>7956992375</v>
      </c>
      <c r="G7" s="1">
        <v>14055384.770453777</v>
      </c>
    </row>
    <row r="8" spans="1:7" x14ac:dyDescent="0.3">
      <c r="A8" s="3">
        <v>25000</v>
      </c>
      <c r="B8" s="1">
        <v>3.0100358309999997</v>
      </c>
      <c r="C8" s="1">
        <v>8.6610181672909289E-3</v>
      </c>
      <c r="D8" s="1">
        <v>2.9975120000000004</v>
      </c>
      <c r="E8" s="1">
        <v>9.0353251738668171E-3</v>
      </c>
      <c r="F8" s="1">
        <v>12485119415</v>
      </c>
      <c r="G8" s="1">
        <v>23382497.231099334</v>
      </c>
    </row>
    <row r="9" spans="1:7" x14ac:dyDescent="0.3">
      <c r="A9" s="3" t="s">
        <v>10</v>
      </c>
      <c r="B9" s="1">
        <v>1.3317175596666668</v>
      </c>
      <c r="C9" s="1">
        <v>1.070358312834647</v>
      </c>
      <c r="D9" s="1">
        <v>1.3184429999999998</v>
      </c>
      <c r="E9" s="1">
        <v>1.0708464299294811</v>
      </c>
      <c r="F9" s="1">
        <v>5466670611.1999998</v>
      </c>
      <c r="G9" s="1">
        <v>4481408917.048439</v>
      </c>
    </row>
    <row r="11" spans="1:7" x14ac:dyDescent="0.3">
      <c r="A11" t="s">
        <v>1</v>
      </c>
      <c r="B11" t="s">
        <v>16</v>
      </c>
      <c r="C11" t="s">
        <v>17</v>
      </c>
      <c r="D11" t="s">
        <v>18</v>
      </c>
      <c r="E11" t="s">
        <v>19</v>
      </c>
      <c r="F11" t="s">
        <v>24</v>
      </c>
      <c r="G11" t="s">
        <v>25</v>
      </c>
    </row>
    <row r="12" spans="1:7" x14ac:dyDescent="0.3">
      <c r="A12" s="3">
        <v>5000</v>
      </c>
      <c r="B12" s="1">
        <v>0.149193506</v>
      </c>
      <c r="C12" s="1">
        <v>1.8763054343271291E-2</v>
      </c>
      <c r="D12" s="1">
        <v>0.13489533333333334</v>
      </c>
      <c r="E12" s="1">
        <v>1.6761313830763295E-2</v>
      </c>
      <c r="F12" s="1">
        <v>477117684.66666669</v>
      </c>
      <c r="G12" s="1">
        <v>562140.57430503983</v>
      </c>
    </row>
    <row r="13" spans="1:7" x14ac:dyDescent="0.3">
      <c r="A13" s="3">
        <v>10000</v>
      </c>
      <c r="B13" s="1">
        <v>0.4850759</v>
      </c>
      <c r="C13" s="1">
        <v>4.3135729235766933E-3</v>
      </c>
      <c r="D13" s="1">
        <v>0.47124633333333327</v>
      </c>
      <c r="E13" s="1">
        <v>4.0290869106286552E-3</v>
      </c>
      <c r="F13" s="1">
        <v>1951647752.6666667</v>
      </c>
      <c r="G13" s="1">
        <v>1268044.3179132186</v>
      </c>
    </row>
    <row r="14" spans="1:7" x14ac:dyDescent="0.3">
      <c r="A14" s="3">
        <v>15000</v>
      </c>
      <c r="B14" s="1">
        <v>1.0872916633333334</v>
      </c>
      <c r="C14" s="1">
        <v>1.2172581756630357E-2</v>
      </c>
      <c r="D14" s="1">
        <v>1.075177</v>
      </c>
      <c r="E14" s="1">
        <v>1.2015464535332412E-2</v>
      </c>
      <c r="F14" s="1">
        <v>4462475828.666667</v>
      </c>
      <c r="G14" s="1">
        <v>28264987.028191045</v>
      </c>
    </row>
    <row r="15" spans="1:7" x14ac:dyDescent="0.3">
      <c r="A15" s="3">
        <v>20000</v>
      </c>
      <c r="B15" s="1">
        <v>1.9269908979999999</v>
      </c>
      <c r="C15" s="1">
        <v>7.5396135406115934E-3</v>
      </c>
      <c r="D15" s="1">
        <v>1.9133843333333334</v>
      </c>
      <c r="E15" s="1">
        <v>7.8153320039862778E-3</v>
      </c>
      <c r="F15" s="1">
        <v>7956992375</v>
      </c>
      <c r="G15" s="1">
        <v>14055384.770453777</v>
      </c>
    </row>
    <row r="16" spans="1:7" x14ac:dyDescent="0.3">
      <c r="A16" s="3">
        <v>25000</v>
      </c>
      <c r="B16" s="1">
        <v>3.0100358309999997</v>
      </c>
      <c r="C16" s="1">
        <v>8.6610181672909289E-3</v>
      </c>
      <c r="D16" s="1">
        <v>2.9975120000000004</v>
      </c>
      <c r="E16" s="1">
        <v>9.0353251738668171E-3</v>
      </c>
      <c r="F16" s="1">
        <v>12485119415</v>
      </c>
      <c r="G16" s="1">
        <v>23382497.231099334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FA35-5681-41BF-9168-41F31DFB74A4}">
  <dimension ref="A3:G16"/>
  <sheetViews>
    <sheetView zoomScale="85" zoomScaleNormal="85" workbookViewId="0">
      <selection activeCell="Q29" sqref="Q29"/>
    </sheetView>
  </sheetViews>
  <sheetFormatPr defaultRowHeight="14.4" x14ac:dyDescent="0.3"/>
  <cols>
    <col min="1" max="1" width="12.44140625" bestFit="1" customWidth="1"/>
    <col min="2" max="2" width="16.5546875" bestFit="1" customWidth="1"/>
    <col min="3" max="3" width="16" bestFit="1" customWidth="1"/>
    <col min="4" max="4" width="13.44140625" bestFit="1" customWidth="1"/>
    <col min="5" max="5" width="12.77734375" bestFit="1" customWidth="1"/>
    <col min="6" max="6" width="19.88671875" bestFit="1" customWidth="1"/>
    <col min="7" max="7" width="19.33203125" bestFit="1" customWidth="1"/>
  </cols>
  <sheetData>
    <row r="3" spans="1:7" x14ac:dyDescent="0.3">
      <c r="A3" s="2" t="s">
        <v>9</v>
      </c>
      <c r="B3" t="s">
        <v>12</v>
      </c>
      <c r="C3" t="s">
        <v>14</v>
      </c>
      <c r="D3" t="s">
        <v>13</v>
      </c>
      <c r="E3" t="s">
        <v>15</v>
      </c>
      <c r="F3" t="s">
        <v>22</v>
      </c>
      <c r="G3" t="s">
        <v>26</v>
      </c>
    </row>
    <row r="4" spans="1:7" x14ac:dyDescent="0.3">
      <c r="A4" s="3">
        <v>50000</v>
      </c>
      <c r="B4" s="1">
        <v>0.48467073200000005</v>
      </c>
      <c r="C4" s="1">
        <v>1.5399351726394471E-3</v>
      </c>
      <c r="D4" s="1">
        <v>0.47184599999999999</v>
      </c>
      <c r="E4" s="1">
        <v>3.4264037999113348E-3</v>
      </c>
      <c r="F4" s="1">
        <v>1949216042</v>
      </c>
      <c r="G4" s="1">
        <v>1667340.9577264034</v>
      </c>
    </row>
    <row r="5" spans="1:7" x14ac:dyDescent="0.3">
      <c r="A5" s="3">
        <v>100000</v>
      </c>
      <c r="B5" s="1">
        <v>0.49096471300000005</v>
      </c>
      <c r="C5" s="1">
        <v>5.122721804841945E-3</v>
      </c>
      <c r="D5" s="1">
        <v>0.4778506666666667</v>
      </c>
      <c r="E5" s="1">
        <v>5.2702419615443478E-3</v>
      </c>
      <c r="F5" s="1">
        <v>1958915931.3333333</v>
      </c>
      <c r="G5" s="1">
        <v>12211597.969112478</v>
      </c>
    </row>
    <row r="6" spans="1:7" x14ac:dyDescent="0.3">
      <c r="A6" s="3">
        <v>150000</v>
      </c>
      <c r="B6" s="1">
        <v>0.4860791293333333</v>
      </c>
      <c r="C6" s="1">
        <v>3.4694888259001115E-3</v>
      </c>
      <c r="D6" s="1">
        <v>0.47228533333333339</v>
      </c>
      <c r="E6" s="1">
        <v>4.6558196199263909E-3</v>
      </c>
      <c r="F6" s="1">
        <v>1954682041</v>
      </c>
      <c r="G6" s="1">
        <v>2223830.8070318657</v>
      </c>
    </row>
    <row r="7" spans="1:7" x14ac:dyDescent="0.3">
      <c r="A7" s="3">
        <v>200000</v>
      </c>
      <c r="B7" s="1">
        <v>0.48597200366666665</v>
      </c>
      <c r="C7" s="1">
        <v>2.2090567492941298E-3</v>
      </c>
      <c r="D7" s="1">
        <v>0.47284333333333334</v>
      </c>
      <c r="E7" s="1">
        <v>3.1312659314304868E-3</v>
      </c>
      <c r="F7" s="1">
        <v>1962504535.3333333</v>
      </c>
      <c r="G7" s="1">
        <v>2891872.4123446387</v>
      </c>
    </row>
    <row r="8" spans="1:7" x14ac:dyDescent="0.3">
      <c r="A8" s="3">
        <v>250000</v>
      </c>
      <c r="B8" s="1">
        <v>0.48468783266666665</v>
      </c>
      <c r="C8" s="1">
        <v>5.5406324191043166E-3</v>
      </c>
      <c r="D8" s="1">
        <v>0.47026833333333334</v>
      </c>
      <c r="E8" s="1">
        <v>5.5737345050992032E-3</v>
      </c>
      <c r="F8" s="1">
        <v>1952034620</v>
      </c>
      <c r="G8" s="1">
        <v>12192644.572231572</v>
      </c>
    </row>
    <row r="9" spans="1:7" x14ac:dyDescent="0.3">
      <c r="A9" s="3" t="s">
        <v>10</v>
      </c>
      <c r="B9" s="1">
        <v>0.48647488213333329</v>
      </c>
      <c r="C9" s="1">
        <v>4.0840186559937871E-3</v>
      </c>
      <c r="D9" s="1">
        <v>0.47301873333333333</v>
      </c>
      <c r="E9" s="1">
        <v>4.6498545056646145E-3</v>
      </c>
      <c r="F9" s="1">
        <v>1955470633.9333334</v>
      </c>
      <c r="G9" s="1">
        <v>8308453.8087929282</v>
      </c>
    </row>
    <row r="11" spans="1:7" x14ac:dyDescent="0.3">
      <c r="A11" t="s">
        <v>8</v>
      </c>
      <c r="B11" t="s">
        <v>16</v>
      </c>
      <c r="C11" t="s">
        <v>17</v>
      </c>
      <c r="D11" t="s">
        <v>18</v>
      </c>
      <c r="E11" t="s">
        <v>19</v>
      </c>
      <c r="F11" t="s">
        <v>24</v>
      </c>
      <c r="G11" t="s">
        <v>25</v>
      </c>
    </row>
    <row r="12" spans="1:7" x14ac:dyDescent="0.3">
      <c r="A12" s="3">
        <v>50000</v>
      </c>
      <c r="B12" s="1">
        <v>0.48467073200000005</v>
      </c>
      <c r="C12" s="1">
        <v>1.5399351726394471E-3</v>
      </c>
      <c r="D12" s="1">
        <v>0.47184599999999999</v>
      </c>
      <c r="E12" s="1">
        <v>3.4264037999113348E-3</v>
      </c>
      <c r="F12" s="1">
        <v>1949216042</v>
      </c>
      <c r="G12" s="1">
        <v>1667340.9577264034</v>
      </c>
    </row>
    <row r="13" spans="1:7" x14ac:dyDescent="0.3">
      <c r="A13" s="3">
        <v>100000</v>
      </c>
      <c r="B13" s="1">
        <v>0.49096471300000005</v>
      </c>
      <c r="C13" s="1">
        <v>5.122721804841945E-3</v>
      </c>
      <c r="D13" s="1">
        <v>0.4778506666666667</v>
      </c>
      <c r="E13" s="1">
        <v>5.2702419615443478E-3</v>
      </c>
      <c r="F13" s="1">
        <v>1958915931.3333333</v>
      </c>
      <c r="G13" s="1">
        <v>12211597.969112478</v>
      </c>
    </row>
    <row r="14" spans="1:7" x14ac:dyDescent="0.3">
      <c r="A14" s="3">
        <v>150000</v>
      </c>
      <c r="B14" s="1">
        <v>0.4860791293333333</v>
      </c>
      <c r="C14" s="1">
        <v>3.4694888259001115E-3</v>
      </c>
      <c r="D14" s="1">
        <v>0.47228533333333339</v>
      </c>
      <c r="E14" s="1">
        <v>4.6558196199263909E-3</v>
      </c>
      <c r="F14" s="1">
        <v>1954682041</v>
      </c>
      <c r="G14" s="1">
        <v>2223830.8070318657</v>
      </c>
    </row>
    <row r="15" spans="1:7" x14ac:dyDescent="0.3">
      <c r="A15" s="3">
        <v>200000</v>
      </c>
      <c r="B15" s="1">
        <v>0.48597200366666665</v>
      </c>
      <c r="C15" s="1">
        <v>2.2090567492941298E-3</v>
      </c>
      <c r="D15" s="1">
        <v>0.47284333333333334</v>
      </c>
      <c r="E15" s="1">
        <v>3.1312659314304868E-3</v>
      </c>
      <c r="F15" s="1">
        <v>1962504535.3333333</v>
      </c>
      <c r="G15" s="1">
        <v>2891872.4123446387</v>
      </c>
    </row>
    <row r="16" spans="1:7" x14ac:dyDescent="0.3">
      <c r="A16" s="3">
        <v>250000</v>
      </c>
      <c r="B16" s="1">
        <v>0.48468783266666665</v>
      </c>
      <c r="C16" s="1">
        <v>5.5406324191043166E-3</v>
      </c>
      <c r="D16" s="1">
        <v>0.47026833333333334</v>
      </c>
      <c r="E16" s="1">
        <v>5.5737345050992032E-3</v>
      </c>
      <c r="F16" s="1">
        <v>1952034620</v>
      </c>
      <c r="G16" s="1">
        <v>12192644.572231572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</vt:lpstr>
      <vt:lpstr>merge_speedup</vt:lpstr>
      <vt:lpstr>merge_sort_SIZE</vt:lpstr>
      <vt:lpstr>bubble_sort_SIZE</vt:lpstr>
      <vt:lpstr>bubble_sort_MAX_VALUE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Anoop Leonardo Felix</cp:lastModifiedBy>
  <dcterms:created xsi:type="dcterms:W3CDTF">2026-02-01T17:54:08Z</dcterms:created>
  <dcterms:modified xsi:type="dcterms:W3CDTF">2026-02-01T19:47:51Z</dcterms:modified>
</cp:coreProperties>
</file>